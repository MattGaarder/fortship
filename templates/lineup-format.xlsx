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tteusgaarder/Desktop/Projects/lorena/"/>
    </mc:Choice>
  </mc:AlternateContent>
  <xr:revisionPtr revIDLastSave="0" documentId="8_{9E998843-8A0C-AA4F-965D-DD5C45C9426B}" xr6:coauthVersionLast="47" xr6:coauthVersionMax="47" xr10:uidLastSave="{00000000-0000-0000-0000-000000000000}"/>
  <bookViews>
    <workbookView xWindow="36000" yWindow="-1460" windowWidth="38400" windowHeight="21100" activeTab="12" xr2:uid="{C43814BB-47FB-BD42-9411-B656065D22DC}"/>
  </bookViews>
  <sheets>
    <sheet name="HOME" sheetId="20" r:id="rId1"/>
    <sheet name="Mucuripe" sheetId="8" r:id="rId2"/>
    <sheet name="Mucuripe - Stacked" sheetId="17" r:id="rId3"/>
    <sheet name="Pecem" sheetId="7" r:id="rId4"/>
    <sheet name="Pecem - Stacked" sheetId="15" r:id="rId5"/>
    <sheet name="VDC" sheetId="9" r:id="rId6"/>
    <sheet name="VDC - Stacked" sheetId="16" r:id="rId7"/>
    <sheet name="Tank Pier" sheetId="10" r:id="rId8"/>
    <sheet name="Tank Pier - Stacked" sheetId="18" r:id="rId9"/>
    <sheet name="PE" sheetId="11" r:id="rId10"/>
    <sheet name="PE - Stacked" sheetId="19" r:id="rId11"/>
    <sheet name="Berth&amp;Sail" sheetId="12" r:id="rId12"/>
    <sheet name="Daily Report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0" l="1"/>
  <c r="B4" i="20"/>
  <c r="A3" i="16" a="1"/>
  <c r="A3" i="16" s="1"/>
  <c r="C20" i="20"/>
  <c r="C17" i="20"/>
  <c r="C14" i="20"/>
  <c r="C11" i="20"/>
  <c r="C8" i="20"/>
  <c r="C19" i="20"/>
  <c r="C16" i="20"/>
  <c r="C13" i="20"/>
  <c r="C10" i="20"/>
  <c r="C7" i="20"/>
  <c r="A3" i="19" a="1"/>
  <c r="A3" i="19" s="1"/>
  <c r="A3" i="18" a="1"/>
  <c r="A3" i="18" s="1"/>
  <c r="A3" i="17" a="1"/>
  <c r="A3" i="17" s="1"/>
  <c r="A3" i="15" l="1" a="1"/>
  <c r="A3" i="1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<sst xmlns="http://schemas.openxmlformats.org/spreadsheetml/2006/main" count="767" uniqueCount="285">
  <si>
    <t>Navigation</t>
  </si>
  <si>
    <t>Fortaleza</t>
  </si>
  <si>
    <t>Pecém</t>
  </si>
  <si>
    <t>Vila do Conde</t>
  </si>
  <si>
    <t>Recife</t>
  </si>
  <si>
    <t>Mucuripe</t>
  </si>
  <si>
    <t>Port of Fortaleza - Line Up</t>
  </si>
  <si>
    <t>Recipient:</t>
  </si>
  <si>
    <t>matteus.gaarder@outlook.com</t>
  </si>
  <si>
    <t>Berth 103</t>
  </si>
  <si>
    <t>Berth 104</t>
  </si>
  <si>
    <t>Berth 105</t>
  </si>
  <si>
    <t>Berth 106</t>
  </si>
  <si>
    <t>Vessels Names</t>
  </si>
  <si>
    <t>ETA</t>
  </si>
  <si>
    <t>ETB</t>
  </si>
  <si>
    <t>ETC</t>
  </si>
  <si>
    <t>ETD</t>
  </si>
  <si>
    <t>Cargo</t>
  </si>
  <si>
    <t>Quantity</t>
  </si>
  <si>
    <t>Load/Disch</t>
  </si>
  <si>
    <t>Remarks</t>
  </si>
  <si>
    <t>Lowlands Engel</t>
  </si>
  <si>
    <t>Wheat</t>
  </si>
  <si>
    <t>Disch</t>
  </si>
  <si>
    <t xml:space="preserve">At Berth. </t>
  </si>
  <si>
    <t>Furor Aquarius</t>
  </si>
  <si>
    <t>Bunker</t>
  </si>
  <si>
    <t>-</t>
  </si>
  <si>
    <t>Ara Libertad</t>
  </si>
  <si>
    <t>Argentinian Navy</t>
  </si>
  <si>
    <t>Majestic</t>
  </si>
  <si>
    <t>Containers</t>
  </si>
  <si>
    <t>SH Vega</t>
  </si>
  <si>
    <t>Cruise Ship</t>
  </si>
  <si>
    <t>CMA CGM Spirit</t>
  </si>
  <si>
    <t>CMA CGM Cayenne</t>
  </si>
  <si>
    <t>Maya Bay</t>
  </si>
  <si>
    <t>Express Brasil</t>
  </si>
  <si>
    <t>CMA CGM Balboa</t>
  </si>
  <si>
    <t>Douce France</t>
  </si>
  <si>
    <t>Port of Pecém - Line Up</t>
  </si>
  <si>
    <t>loren@fortship.com.br</t>
  </si>
  <si>
    <t>Pier 01</t>
  </si>
  <si>
    <t>Pier 02</t>
  </si>
  <si>
    <t>TMUT 5</t>
  </si>
  <si>
    <t>TMUT 6</t>
  </si>
  <si>
    <t>TMUT 7</t>
  </si>
  <si>
    <t>TMUT 8</t>
  </si>
  <si>
    <t>TMUT 9</t>
  </si>
  <si>
    <t>TMUT 10</t>
  </si>
  <si>
    <t>Golden Amber</t>
  </si>
  <si>
    <t>Coal for Arcelormittal</t>
  </si>
  <si>
    <t>Discharge</t>
  </si>
  <si>
    <t>Forte São Marcelo</t>
  </si>
  <si>
    <t>Iron Ore</t>
  </si>
  <si>
    <t>Star Lofoten</t>
  </si>
  <si>
    <t>Steel Coils + Wheel Loader</t>
  </si>
  <si>
    <t>Eastern Laelia</t>
  </si>
  <si>
    <t>Steel Coils</t>
  </si>
  <si>
    <t>Federal Bering</t>
  </si>
  <si>
    <t>Steel Slabs</t>
  </si>
  <si>
    <t>Load</t>
  </si>
  <si>
    <t>Czech</t>
  </si>
  <si>
    <t>Container</t>
  </si>
  <si>
    <t>At Berth.</t>
  </si>
  <si>
    <t>Aliança Leblon</t>
  </si>
  <si>
    <t>Xin An Yuan</t>
  </si>
  <si>
    <t>Coal for EDP</t>
  </si>
  <si>
    <t>Forte dos Reis Magos</t>
  </si>
  <si>
    <t>Sepetiba Bay</t>
  </si>
  <si>
    <t>88% of cargo readiness</t>
  </si>
  <si>
    <t>Equinox Eagle</t>
  </si>
  <si>
    <t>Aeolus</t>
  </si>
  <si>
    <t>36% of cargo readiness</t>
  </si>
  <si>
    <t>Pedro Alvares Cabral</t>
  </si>
  <si>
    <t>Log-in Evolution</t>
  </si>
  <si>
    <t>Navios Meridian</t>
  </si>
  <si>
    <t>TBN</t>
  </si>
  <si>
    <t>UAL Fortitude</t>
  </si>
  <si>
    <t>Break Bulk</t>
  </si>
  <si>
    <t>22 Pieces // 232.844 tons</t>
  </si>
  <si>
    <t>Century Beijin</t>
  </si>
  <si>
    <t>Tai Splendor</t>
  </si>
  <si>
    <t>29% of cargo readiness</t>
  </si>
  <si>
    <t>MSC Yukta X</t>
  </si>
  <si>
    <t>NC Breda</t>
  </si>
  <si>
    <t>Aquagem</t>
  </si>
  <si>
    <t>Linden Arrow</t>
  </si>
  <si>
    <t>Granite in Blocks</t>
  </si>
  <si>
    <t>Saga Fuji</t>
  </si>
  <si>
    <t>0% of cargo readiness</t>
  </si>
  <si>
    <t>MSC Domitille</t>
  </si>
  <si>
    <t>Mercosul Guaruja</t>
  </si>
  <si>
    <t>Field Freia</t>
  </si>
  <si>
    <t>UAL Brazil</t>
  </si>
  <si>
    <t>123 Pieces // 639.70 tons</t>
  </si>
  <si>
    <t>Log-in Jacarandá</t>
  </si>
  <si>
    <t>Maersk Frankfurt</t>
  </si>
  <si>
    <t>Covadonga</t>
  </si>
  <si>
    <t>Coal Tar</t>
  </si>
  <si>
    <t>Bartolomeu Dias</t>
  </si>
  <si>
    <t>Fernão de Magalhães</t>
  </si>
  <si>
    <t>RMS Fraternity</t>
  </si>
  <si>
    <t>BBC Moonstone</t>
  </si>
  <si>
    <t>Windmill Blades</t>
  </si>
  <si>
    <t xml:space="preserve">43 x V150 </t>
  </si>
  <si>
    <t>Port of Vila do Conde - Line Up</t>
  </si>
  <si>
    <t>HB Tambaqui</t>
  </si>
  <si>
    <t>Bauxite</t>
  </si>
  <si>
    <t>Golden Island</t>
  </si>
  <si>
    <t>Hidrato</t>
  </si>
  <si>
    <t>Kellett Island</t>
  </si>
  <si>
    <t>Alumina</t>
  </si>
  <si>
    <t>Federal Imabari</t>
  </si>
  <si>
    <t>Fertilizer</t>
  </si>
  <si>
    <t>Bc Singapore</t>
  </si>
  <si>
    <t>Floretgracht</t>
  </si>
  <si>
    <t>Oil</t>
  </si>
  <si>
    <t>Arcturus</t>
  </si>
  <si>
    <t>HB Tucunare</t>
  </si>
  <si>
    <t>Graig Cardiff</t>
  </si>
  <si>
    <t>Amstelborg</t>
  </si>
  <si>
    <t>Petcoke</t>
  </si>
  <si>
    <t>African Baza</t>
  </si>
  <si>
    <t>Coal</t>
  </si>
  <si>
    <t>Diogo Garcia</t>
  </si>
  <si>
    <t>Aldelta</t>
  </si>
  <si>
    <t>Soda Ash</t>
  </si>
  <si>
    <t>Bangor</t>
  </si>
  <si>
    <t>Falmouth Bay</t>
  </si>
  <si>
    <t>Hanze Genoa</t>
  </si>
  <si>
    <t>Warmia</t>
  </si>
  <si>
    <t>Seabee</t>
  </si>
  <si>
    <t>Margret Marajo</t>
  </si>
  <si>
    <t>FM Spiridon</t>
  </si>
  <si>
    <t>Vishva Vinay</t>
  </si>
  <si>
    <t>V Due</t>
  </si>
  <si>
    <t>Nord Montreal</t>
  </si>
  <si>
    <t>Santa Johanna</t>
  </si>
  <si>
    <t>MSC Alabama</t>
  </si>
  <si>
    <t>Kujawy</t>
  </si>
  <si>
    <t>Falcouth Bay</t>
  </si>
  <si>
    <t>Industrial Fighter</t>
  </si>
  <si>
    <t>Bulk Destiny</t>
  </si>
  <si>
    <t xml:space="preserve">Kociewie </t>
  </si>
  <si>
    <t>Chemstar Jewel</t>
  </si>
  <si>
    <t>Port Botany</t>
  </si>
  <si>
    <t>Piche</t>
  </si>
  <si>
    <t>Saga Odyssey</t>
  </si>
  <si>
    <t>CMA CGM Sain Laurent</t>
  </si>
  <si>
    <t>Balsas Reicon</t>
  </si>
  <si>
    <t xml:space="preserve">* Will come alongside within this berthing window. </t>
  </si>
  <si>
    <t>Ansah Amity</t>
  </si>
  <si>
    <t>Coke</t>
  </si>
  <si>
    <t>MSC Korea</t>
  </si>
  <si>
    <t>Cielo di Jari</t>
  </si>
  <si>
    <t>BC Singapore</t>
  </si>
  <si>
    <t>Aruna Ismail</t>
  </si>
  <si>
    <t>Manganese</t>
  </si>
  <si>
    <t>CMA CGM Brazil</t>
  </si>
  <si>
    <t>Sea Athena</t>
  </si>
  <si>
    <t>AS Petulia</t>
  </si>
  <si>
    <t>Zephyr Venture</t>
  </si>
  <si>
    <t>Balsas Majonav</t>
  </si>
  <si>
    <t>Balsas Chibatao</t>
  </si>
  <si>
    <t>Jan de Solis</t>
  </si>
  <si>
    <t>Fernao de Magalhaes</t>
  </si>
  <si>
    <t>Mucuripe Port  - Line Up</t>
  </si>
  <si>
    <t>202 (Internal)</t>
  </si>
  <si>
    <t>202 (External)</t>
  </si>
  <si>
    <t>Regras</t>
  </si>
  <si>
    <t>Produdo</t>
  </si>
  <si>
    <t>Berco</t>
  </si>
  <si>
    <t>Gurupa</t>
  </si>
  <si>
    <t>21 Sep PM</t>
  </si>
  <si>
    <t>25 Sep PM</t>
  </si>
  <si>
    <t>GLP</t>
  </si>
  <si>
    <t>Ocean Spirit</t>
  </si>
  <si>
    <t>23 Sep AM</t>
  </si>
  <si>
    <t>Vegetable Oil</t>
  </si>
  <si>
    <t>Interno</t>
  </si>
  <si>
    <t>Grajau</t>
  </si>
  <si>
    <t>29 Sep PM</t>
  </si>
  <si>
    <t>Furuholmen</t>
  </si>
  <si>
    <t>Ethanol</t>
  </si>
  <si>
    <t>QAV</t>
  </si>
  <si>
    <t>Depende (externo)</t>
  </si>
  <si>
    <t>Laguna D</t>
  </si>
  <si>
    <t>Palm Oil</t>
  </si>
  <si>
    <t>Diesel</t>
  </si>
  <si>
    <t>Sterna Immportal</t>
  </si>
  <si>
    <t>Petroleum</t>
  </si>
  <si>
    <t>Sempre Externo</t>
  </si>
  <si>
    <t>Gasolina</t>
  </si>
  <si>
    <t>Port of Recife - Line Up</t>
  </si>
  <si>
    <t>Port of Suape - Line Up</t>
  </si>
  <si>
    <t>PIB 4</t>
  </si>
  <si>
    <t>PIB 5</t>
  </si>
  <si>
    <t>Benjamas Naree</t>
  </si>
  <si>
    <t>Seabourn Sojourn</t>
  </si>
  <si>
    <t>Diamond Highway</t>
  </si>
  <si>
    <t>Vehicles</t>
  </si>
  <si>
    <t>Durban Highway</t>
  </si>
  <si>
    <t>Start Dalmatia</t>
  </si>
  <si>
    <t>Insignia</t>
  </si>
  <si>
    <t>Cook Strait</t>
  </si>
  <si>
    <t>Coral Ocean</t>
  </si>
  <si>
    <t>Rebars</t>
  </si>
  <si>
    <t>Naning</t>
  </si>
  <si>
    <t>Sirius Leader</t>
  </si>
  <si>
    <t>Florentia</t>
  </si>
  <si>
    <t xml:space="preserve">Slag </t>
  </si>
  <si>
    <t>General Cargo</t>
  </si>
  <si>
    <t>Appollon Highway</t>
  </si>
  <si>
    <t>Berthing Report</t>
  </si>
  <si>
    <t xml:space="preserve">VESSEL </t>
  </si>
  <si>
    <t>FWN ARCTIC</t>
  </si>
  <si>
    <t>VOYAGE</t>
  </si>
  <si>
    <t xml:space="preserve">PORT </t>
  </si>
  <si>
    <t>PECEM</t>
  </si>
  <si>
    <t>QUANTITY (UNITS)</t>
  </si>
  <si>
    <t>CARGO TO LOADING</t>
  </si>
  <si>
    <t>BLADES</t>
  </si>
  <si>
    <t>BERTHING</t>
  </si>
  <si>
    <t>Free Pratique Granted</t>
  </si>
  <si>
    <t>End of Sea Passage</t>
  </si>
  <si>
    <t>Arrived at the Roads (Drifting)</t>
  </si>
  <si>
    <t>Notice of Readiness Tendered</t>
  </si>
  <si>
    <t>Anchor Down</t>
  </si>
  <si>
    <t>Anchor Aweight</t>
  </si>
  <si>
    <t>POB for Berthing</t>
  </si>
  <si>
    <t>First Line Ashore</t>
  </si>
  <si>
    <t>All Fast</t>
  </si>
  <si>
    <t>Gangway Placed Ashore</t>
  </si>
  <si>
    <t>Cleared by Port Authorities</t>
  </si>
  <si>
    <t>Commenced Loading</t>
  </si>
  <si>
    <t>Completed Loading</t>
  </si>
  <si>
    <t>Lashing/Securing vessel Completed by crew for sailing</t>
  </si>
  <si>
    <t>POB for Sailing</t>
  </si>
  <si>
    <t xml:space="preserve"> Cast-off</t>
  </si>
  <si>
    <t>POB off.</t>
  </si>
  <si>
    <t>Next Port ETA</t>
  </si>
  <si>
    <t>BUNKERS UPON:</t>
  </si>
  <si>
    <t>SAILING</t>
  </si>
  <si>
    <t>I.F.O.</t>
  </si>
  <si>
    <t>N/A</t>
  </si>
  <si>
    <t>D.O.</t>
  </si>
  <si>
    <t>282,920 M</t>
  </si>
  <si>
    <t xml:space="preserve">F.W. </t>
  </si>
  <si>
    <t>33,500 M</t>
  </si>
  <si>
    <t>DRAFTS UPON:</t>
  </si>
  <si>
    <t>FWD</t>
  </si>
  <si>
    <t>3,60 M</t>
  </si>
  <si>
    <t>AFT</t>
  </si>
  <si>
    <t>4,90 M</t>
  </si>
  <si>
    <t>TUGS USED UPON:</t>
  </si>
  <si>
    <t>NUMBERS</t>
  </si>
  <si>
    <t>NAMES</t>
  </si>
  <si>
    <t>SAAM TUPI</t>
  </si>
  <si>
    <t xml:space="preserve">SAAM PHILLIPE </t>
  </si>
  <si>
    <t>Daily Report</t>
  </si>
  <si>
    <t>MV BOSC PASSION</t>
  </si>
  <si>
    <t>Hold`s</t>
  </si>
  <si>
    <t>Total Manifested (mtons)</t>
  </si>
  <si>
    <t>Total Manifested (units)</t>
  </si>
  <si>
    <t>Discharged Daily (mtons)</t>
  </si>
  <si>
    <t>Balance to go (mtons)</t>
  </si>
  <si>
    <t>Discharged Daily (units)</t>
  </si>
  <si>
    <t>Balance to go (units)</t>
  </si>
  <si>
    <t>Manifested (mtons)</t>
  </si>
  <si>
    <t>Total Discharged (mtons)</t>
  </si>
  <si>
    <t>Manifested (units)</t>
  </si>
  <si>
    <t>Total Discharged (units)</t>
  </si>
  <si>
    <t>Date</t>
  </si>
  <si>
    <t>Shift</t>
  </si>
  <si>
    <t>ETC/S</t>
  </si>
  <si>
    <t>06:00 - 12:00</t>
  </si>
  <si>
    <t>12:00 - 18:00</t>
  </si>
  <si>
    <t>18:00 - 00:00</t>
  </si>
  <si>
    <t>00:00 - 06:00</t>
  </si>
  <si>
    <t>CC:</t>
  </si>
  <si>
    <t>BCC:</t>
  </si>
  <si>
    <t>matteus.gaarder@gmail.com</t>
  </si>
  <si>
    <t>matt.gaarder@icloud.com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</si>
</sst>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/mm\ hh:mm"/>
    <numFmt numFmtId="165" formatCode="dd/mm\ AM/PM"/>
    <numFmt numFmtId="166" formatCode="hh:mm&quot;h lt&quot;"/>
    <numFmt numFmtId="167" formatCode="ddd\,\ d\ mmm\ yyyy"/>
    <numFmt numFmtId="168" formatCode="ddd\,\ d\ mmm\ yyyy\ h\ AM/PM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70C0"/>
      <name val="Aptos Narrow"/>
      <scheme val="minor"/>
    </font>
    <font>
      <sz val="12"/>
      <color rgb="FF0070C0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/>
    <xf numFmtId="14" fontId="2" fillId="0" borderId="2" xfId="0" applyNumberFormat="1" applyFont="1" applyBorder="1"/>
    <xf numFmtId="0" fontId="2" fillId="0" borderId="3" xfId="0" applyFont="1" applyBorder="1"/>
    <xf numFmtId="43" fontId="0" fillId="0" borderId="0" xfId="1" applyFont="1"/>
    <xf numFmtId="43" fontId="2" fillId="0" borderId="0" xfId="1" applyFont="1" applyAlignment="1">
      <alignment horizontal="left"/>
    </xf>
    <xf numFmtId="43" fontId="2" fillId="0" borderId="2" xfId="1" applyFont="1" applyBorder="1"/>
    <xf numFmtId="43" fontId="0" fillId="0" borderId="0" xfId="1" applyFont="1" applyAlignment="1">
      <alignment horizontal="right"/>
    </xf>
    <xf numFmtId="43" fontId="2" fillId="0" borderId="0" xfId="1" applyFont="1" applyAlignment="1">
      <alignment horizontal="right"/>
    </xf>
    <xf numFmtId="43" fontId="2" fillId="0" borderId="2" xfId="1" applyFont="1" applyBorder="1" applyAlignment="1">
      <alignment horizontal="right"/>
    </xf>
    <xf numFmtId="164" fontId="0" fillId="0" borderId="0" xfId="0" applyNumberFormat="1"/>
    <xf numFmtId="164" fontId="2" fillId="0" borderId="2" xfId="0" applyNumberFormat="1" applyFont="1" applyBorder="1"/>
    <xf numFmtId="165" fontId="0" fillId="0" borderId="0" xfId="0" applyNumberFormat="1"/>
    <xf numFmtId="165" fontId="2" fillId="0" borderId="0" xfId="0" applyNumberFormat="1" applyFont="1" applyAlignment="1">
      <alignment horizontal="left"/>
    </xf>
    <xf numFmtId="165" fontId="2" fillId="0" borderId="2" xfId="0" applyNumberFormat="1" applyFont="1" applyBorder="1"/>
    <xf numFmtId="43" fontId="0" fillId="0" borderId="0" xfId="1" applyFont="1" applyBorder="1"/>
    <xf numFmtId="43" fontId="2" fillId="0" borderId="0" xfId="1" applyFont="1" applyBorder="1" applyAlignment="1">
      <alignment horizontal="left"/>
    </xf>
    <xf numFmtId="43" fontId="0" fillId="0" borderId="0" xfId="1" applyFont="1" applyBorder="1" applyAlignment="1">
      <alignment horizontal="right"/>
    </xf>
    <xf numFmtId="43" fontId="2" fillId="0" borderId="0" xfId="1" applyFont="1" applyBorder="1" applyAlignment="1">
      <alignment horizontal="right"/>
    </xf>
    <xf numFmtId="164" fontId="0" fillId="0" borderId="1" xfId="0" applyNumberFormat="1" applyBorder="1"/>
    <xf numFmtId="164" fontId="2" fillId="0" borderId="3" xfId="0" applyNumberFormat="1" applyFont="1" applyBorder="1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167" fontId="0" fillId="0" borderId="0" xfId="0" applyNumberFormat="1" applyAlignment="1">
      <alignment horizontal="left"/>
    </xf>
    <xf numFmtId="167" fontId="0" fillId="0" borderId="0" xfId="0" applyNumberFormat="1"/>
    <xf numFmtId="167" fontId="2" fillId="0" borderId="0" xfId="0" applyNumberFormat="1" applyFont="1" applyAlignment="1">
      <alignment horizontal="left"/>
    </xf>
    <xf numFmtId="0" fontId="0" fillId="0" borderId="2" xfId="0" applyBorder="1"/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0" xfId="0" applyFont="1"/>
    <xf numFmtId="14" fontId="4" fillId="0" borderId="0" xfId="2" applyNumberFormat="1"/>
    <xf numFmtId="165" fontId="6" fillId="0" borderId="0" xfId="0" applyNumberFormat="1" applyFont="1"/>
    <xf numFmtId="165" fontId="2" fillId="0" borderId="2" xfId="0" applyNumberFormat="1" applyFont="1" applyBorder="1" applyAlignment="1">
      <alignment horizontal="left"/>
    </xf>
    <xf numFmtId="0" fontId="2" fillId="0" borderId="1" xfId="0" applyFont="1" applyBorder="1"/>
    <xf numFmtId="43" fontId="2" fillId="0" borderId="2" xfId="1" applyFont="1" applyBorder="1" applyAlignment="1">
      <alignment horizontal="left"/>
    </xf>
    <xf numFmtId="0" fontId="4" fillId="0" borderId="0" xfId="2"/>
    <xf numFmtId="0" fontId="6" fillId="0" borderId="0" xfId="0" applyFont="1"/>
    <xf numFmtId="0" fontId="7" fillId="0" borderId="0" xfId="2" applyFont="1"/>
    <xf numFmtId="0" fontId="8" fillId="0" borderId="0" xfId="0" applyFont="1"/>
    <xf numFmtId="168" fontId="3" fillId="0" borderId="0" xfId="0" applyNumberFormat="1" applyFont="1"/>
    <xf numFmtId="43" fontId="0" fillId="0" borderId="2" xfId="1" applyFont="1" applyBorder="1"/>
    <xf numFmtId="14" fontId="2" fillId="0" borderId="0" xfId="0" applyNumberFormat="1" applyFont="1"/>
    <xf numFmtId="165" fontId="2" fillId="0" borderId="0" xfId="0" applyNumberFormat="1" applyFont="1"/>
    <xf numFmtId="43" fontId="2" fillId="0" borderId="0" xfId="1" applyFont="1" applyBorder="1"/>
    <xf numFmtId="164" fontId="2" fillId="0" borderId="0" xfId="0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tt.gaarder@icloud.com" TargetMode="External"/><Relationship Id="rId2" Type="http://schemas.openxmlformats.org/officeDocument/2006/relationships/hyperlink" Target="mailto:matteus.gaarder@gmail.com" TargetMode="External"/><Relationship Id="rId1" Type="http://schemas.openxmlformats.org/officeDocument/2006/relationships/hyperlink" Target="mailto:matteus.gaarder@outlook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loren@fortship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A687-4C68-4E41-9A30-22A38AD4968F}">
  <dimension ref="B2:F21"/>
  <sheetViews>
    <sheetView workbookViewId="0">
      <selection activeCell="G10" sqref="G10"/>
    </sheetView>
  </sheetViews>
  <sheetFormatPr baseColWidth="10" defaultColWidth="11" defaultRowHeight="16" x14ac:dyDescent="0.2"/>
  <cols>
    <col min="1" max="1" width="6.6640625" customWidth="1"/>
    <col min="2" max="2" width="12.5" bestFit="1" customWidth="1"/>
    <col min="3" max="3" width="11.83203125" bestFit="1" customWidth="1"/>
  </cols>
  <sheetData>
    <row r="2" spans="2:6" x14ac:dyDescent="0.2">
      <c r="B2" s="3" t="s">
        <v>0</v>
      </c>
      <c r="E2" s="3" t="s">
        <v>7</v>
      </c>
      <c r="F2" s="41" t="s">
        <v>8</v>
      </c>
    </row>
    <row r="3" spans="2:6" x14ac:dyDescent="0.2">
      <c r="E3" s="3" t="s">
        <v>281</v>
      </c>
      <c r="F3" s="41" t="s">
        <v>283</v>
      </c>
    </row>
    <row r="4" spans="2:6" x14ac:dyDescent="0.2">
      <c r="B4" s="41" t="str">
        <f>HYPERLINK("#'Daily Report'!A1"," → DAILY REPORT")</f>
        <v xml:space="preserve"> → DAILY REPORT</v>
      </c>
      <c r="D4" s="44"/>
      <c r="E4" s="3" t="s">
        <v>282</v>
      </c>
      <c r="F4" s="41" t="s">
        <v>284</v>
      </c>
    </row>
    <row r="5" spans="2:6" x14ac:dyDescent="0.2">
      <c r="B5" s="41" t="str">
        <f>HYPERLINK("#'Berth&amp;Sail'!A1"," → BERTHING REPORT")</f>
        <v xml:space="preserve"> → BERTHING REPORT</v>
      </c>
    </row>
    <row r="6" spans="2:6" x14ac:dyDescent="0.2">
      <c r="D6" s="44"/>
      <c r="F6" s="41"/>
    </row>
    <row r="7" spans="2:6" x14ac:dyDescent="0.2">
      <c r="B7" s="42" t="s">
        <v>1</v>
      </c>
      <c r="C7" s="43" t="str">
        <f>HYPERLINK("#Mucuripe!A1"," → LINE UP")</f>
        <v xml:space="preserve"> → LINE UP</v>
      </c>
      <c r="D7" s="44"/>
    </row>
    <row r="8" spans="2:6" x14ac:dyDescent="0.2">
      <c r="C8" s="43" t="str">
        <f>HYPERLINK("#'Mucuripe - Stacked'!A1"," → Stack")</f>
        <v xml:space="preserve"> → Stack</v>
      </c>
      <c r="D8" s="44"/>
    </row>
    <row r="9" spans="2:6" x14ac:dyDescent="0.2">
      <c r="C9" s="44"/>
      <c r="D9" s="44"/>
    </row>
    <row r="10" spans="2:6" x14ac:dyDescent="0.2">
      <c r="B10" s="42" t="s">
        <v>2</v>
      </c>
      <c r="C10" s="43" t="str">
        <f>HYPERLINK("#Pecem!A1"," → LINE UP")</f>
        <v xml:space="preserve"> → LINE UP</v>
      </c>
      <c r="D10" s="44"/>
    </row>
    <row r="11" spans="2:6" x14ac:dyDescent="0.2">
      <c r="C11" s="43" t="str">
        <f>HYPERLINK("#'Pecem - Stacked'!A1"," → Stack")</f>
        <v xml:space="preserve"> → Stack</v>
      </c>
      <c r="D11" s="44"/>
    </row>
    <row r="12" spans="2:6" x14ac:dyDescent="0.2">
      <c r="C12" s="44"/>
      <c r="D12" s="44"/>
    </row>
    <row r="13" spans="2:6" x14ac:dyDescent="0.2">
      <c r="B13" s="42" t="s">
        <v>3</v>
      </c>
      <c r="C13" s="43" t="str">
        <f>HYPERLINK("#VDC!A1"," → LINE UP")</f>
        <v xml:space="preserve"> → LINE UP</v>
      </c>
      <c r="D13" s="44"/>
    </row>
    <row r="14" spans="2:6" x14ac:dyDescent="0.2">
      <c r="C14" s="43" t="str">
        <f>HYPERLINK("#'VDC - Stacked'!A1"," → Stack")</f>
        <v xml:space="preserve"> → Stack</v>
      </c>
      <c r="D14" s="44"/>
    </row>
    <row r="15" spans="2:6" x14ac:dyDescent="0.2">
      <c r="C15" s="44"/>
      <c r="D15" s="44"/>
    </row>
    <row r="16" spans="2:6" x14ac:dyDescent="0.2">
      <c r="B16" s="42" t="s">
        <v>4</v>
      </c>
      <c r="C16" s="43" t="str">
        <f>HYPERLINK("#Tank Pier!A1"," → LINE UP")</f>
        <v xml:space="preserve"> → LINE UP</v>
      </c>
      <c r="D16" s="44"/>
    </row>
    <row r="17" spans="2:4" x14ac:dyDescent="0.2">
      <c r="C17" s="43" t="str">
        <f>HYPERLINK("#'Tank Pier - Stacked'!A1"," → Stack")</f>
        <v xml:space="preserve"> → Stack</v>
      </c>
      <c r="D17" s="44"/>
    </row>
    <row r="18" spans="2:4" x14ac:dyDescent="0.2">
      <c r="C18" s="44"/>
      <c r="D18" s="44"/>
    </row>
    <row r="19" spans="2:4" x14ac:dyDescent="0.2">
      <c r="B19" s="42" t="s">
        <v>5</v>
      </c>
      <c r="C19" s="43" t="str">
        <f>HYPERLINK("#PE!A1"," → LINE UP")</f>
        <v xml:space="preserve"> → LINE UP</v>
      </c>
      <c r="D19" s="44"/>
    </row>
    <row r="20" spans="2:4" x14ac:dyDescent="0.2">
      <c r="C20" s="43" t="str">
        <f>HYPERLINK("#'PE - Stacked'!A1"," → Stack")</f>
        <v xml:space="preserve"> → Stack</v>
      </c>
      <c r="D20" s="44"/>
    </row>
    <row r="21" spans="2:4" x14ac:dyDescent="0.2">
      <c r="C21" s="44"/>
    </row>
  </sheetData>
  <hyperlinks>
    <hyperlink ref="F2" r:id="rId1" xr:uid="{2FC1C742-FF58-9345-91CC-4A6BA7A5AD57}"/>
    <hyperlink ref="F3" r:id="rId2" xr:uid="{2AC26B74-63C7-BA45-9AE2-BFD8E108B568}"/>
    <hyperlink ref="F4" r:id="rId3" xr:uid="{4ACD7B8D-5B14-104A-B1F1-E84395812025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6744-671F-0546-B685-1C6DD24921D3}">
  <dimension ref="A1:BR12"/>
  <sheetViews>
    <sheetView workbookViewId="0">
      <selection activeCell="A2" sqref="A2:B2"/>
    </sheetView>
  </sheetViews>
  <sheetFormatPr baseColWidth="10" defaultColWidth="11" defaultRowHeight="16" x14ac:dyDescent="0.2"/>
  <cols>
    <col min="1" max="1" width="17.6640625" customWidth="1"/>
    <col min="2" max="2" width="14.33203125" style="1" customWidth="1"/>
    <col min="3" max="5" width="10.83203125" style="17"/>
    <col min="6" max="6" width="23.83203125" customWidth="1"/>
    <col min="7" max="7" width="22.1640625" style="9" customWidth="1"/>
    <col min="9" max="9" width="22.1640625" style="2" customWidth="1"/>
    <col min="10" max="10" width="17.6640625" customWidth="1"/>
    <col min="11" max="11" width="14.33203125" style="15" customWidth="1"/>
    <col min="12" max="14" width="10.83203125" style="17"/>
    <col min="15" max="15" width="23.83203125" customWidth="1"/>
    <col min="16" max="16" width="22.1640625" style="9" customWidth="1"/>
    <col min="18" max="18" width="22.1640625" style="2" customWidth="1"/>
    <col min="19" max="19" width="17.33203125" customWidth="1"/>
    <col min="20" max="20" width="14.33203125" style="15" customWidth="1"/>
    <col min="21" max="23" width="10.83203125" style="17"/>
    <col min="24" max="24" width="23.83203125" customWidth="1"/>
    <col min="25" max="25" width="22.1640625" style="12" customWidth="1"/>
    <col min="27" max="27" width="22.1640625" style="2" customWidth="1"/>
    <col min="28" max="28" width="17.6640625" customWidth="1"/>
    <col min="29" max="29" width="14.33203125" style="15" customWidth="1"/>
    <col min="30" max="32" width="10.83203125" style="17"/>
    <col min="33" max="33" width="23.83203125" customWidth="1"/>
    <col min="34" max="34" width="22.1640625" style="9" customWidth="1"/>
    <col min="36" max="36" width="22.1640625" style="2" customWidth="1"/>
    <col min="37" max="37" width="15.5" customWidth="1"/>
    <col min="38" max="38" width="14.33203125" style="15" customWidth="1"/>
    <col min="39" max="41" width="10.83203125" style="17"/>
    <col min="42" max="42" width="23.83203125" customWidth="1"/>
    <col min="43" max="43" width="22.1640625" style="9" customWidth="1"/>
    <col min="45" max="45" width="22.1640625" customWidth="1"/>
    <col min="46" max="46" width="17" customWidth="1"/>
    <col min="47" max="47" width="14.33203125" style="15" customWidth="1"/>
    <col min="48" max="53" width="10.83203125"/>
    <col min="54" max="54" width="22.1640625" customWidth="1"/>
    <col min="55" max="55" width="17.6640625" customWidth="1"/>
    <col min="56" max="56" width="14.33203125" style="15" customWidth="1"/>
    <col min="57" max="59" width="10.83203125" style="17"/>
    <col min="60" max="60" width="23.83203125" customWidth="1"/>
    <col min="61" max="61" width="22.1640625" style="20" customWidth="1"/>
    <col min="62" max="62" width="10.83203125"/>
    <col min="63" max="63" width="22.1640625" customWidth="1"/>
    <col min="64" max="64" width="17.6640625" customWidth="1"/>
    <col min="65" max="65" width="14.33203125" style="15" customWidth="1"/>
    <col min="66" max="68" width="10.83203125" style="17"/>
    <col min="69" max="69" width="23.83203125" customWidth="1"/>
    <col min="70" max="70" width="22.1640625" style="20" customWidth="1"/>
    <col min="71" max="71" width="10.83203125"/>
    <col min="72" max="72" width="22.1640625" customWidth="1"/>
    <col min="73" max="101" width="10.83203125"/>
  </cols>
  <sheetData>
    <row r="1" spans="1:70" x14ac:dyDescent="0.2">
      <c r="A1" s="3" t="s">
        <v>6</v>
      </c>
    </row>
    <row r="2" spans="1:70" x14ac:dyDescent="0.2">
      <c r="A2" s="35"/>
      <c r="B2" s="36"/>
    </row>
    <row r="3" spans="1:70" s="4" customFormat="1" x14ac:dyDescent="0.2">
      <c r="A3" s="4" t="s">
        <v>9</v>
      </c>
      <c r="C3" s="18"/>
      <c r="D3" s="18"/>
      <c r="E3" s="18"/>
      <c r="G3" s="10"/>
      <c r="I3" s="5"/>
      <c r="J3" s="4" t="s">
        <v>10</v>
      </c>
      <c r="K3" s="15"/>
      <c r="L3" s="18"/>
      <c r="M3" s="18"/>
      <c r="N3" s="18"/>
      <c r="P3" s="10"/>
      <c r="R3" s="5"/>
      <c r="S3" s="4" t="s">
        <v>11</v>
      </c>
      <c r="T3" s="15"/>
      <c r="U3" s="18"/>
      <c r="V3" s="18"/>
      <c r="W3" s="18"/>
      <c r="Y3" s="13"/>
      <c r="AA3" s="5"/>
      <c r="AB3" s="4" t="s">
        <v>12</v>
      </c>
      <c r="AC3" s="15"/>
      <c r="AD3" s="18"/>
      <c r="AE3" s="18"/>
      <c r="AF3" s="18"/>
      <c r="AH3" s="10"/>
      <c r="AJ3" s="5"/>
      <c r="AL3" s="15"/>
      <c r="AM3" s="18"/>
      <c r="AN3" s="18"/>
      <c r="AO3" s="18"/>
      <c r="AQ3" s="10"/>
      <c r="AU3" s="15"/>
      <c r="BD3" s="15"/>
      <c r="BE3" s="18"/>
      <c r="BF3" s="18"/>
      <c r="BG3" s="18"/>
      <c r="BI3" s="21"/>
      <c r="BM3" s="15"/>
      <c r="BN3" s="18"/>
      <c r="BO3" s="18"/>
      <c r="BP3" s="18"/>
      <c r="BR3" s="21"/>
    </row>
    <row r="4" spans="1:70" s="3" customFormat="1" x14ac:dyDescent="0.2">
      <c r="A4" s="6" t="s">
        <v>13</v>
      </c>
      <c r="B4" s="7" t="s">
        <v>14</v>
      </c>
      <c r="C4" s="19" t="s">
        <v>15</v>
      </c>
      <c r="D4" s="19" t="s">
        <v>16</v>
      </c>
      <c r="E4" s="19" t="s">
        <v>17</v>
      </c>
      <c r="F4" s="6" t="s">
        <v>18</v>
      </c>
      <c r="G4" s="11" t="s">
        <v>19</v>
      </c>
      <c r="H4" s="6" t="s">
        <v>20</v>
      </c>
      <c r="I4" s="8" t="s">
        <v>21</v>
      </c>
      <c r="J4" s="6" t="s">
        <v>13</v>
      </c>
      <c r="K4" s="16" t="s">
        <v>14</v>
      </c>
      <c r="L4" s="19" t="s">
        <v>15</v>
      </c>
      <c r="M4" s="19" t="s">
        <v>16</v>
      </c>
      <c r="N4" s="19" t="s">
        <v>17</v>
      </c>
      <c r="O4" s="6" t="s">
        <v>18</v>
      </c>
      <c r="P4" s="11" t="s">
        <v>19</v>
      </c>
      <c r="Q4" s="6" t="s">
        <v>20</v>
      </c>
      <c r="R4" s="8" t="s">
        <v>21</v>
      </c>
      <c r="S4" s="6" t="s">
        <v>13</v>
      </c>
      <c r="T4" s="16" t="s">
        <v>14</v>
      </c>
      <c r="U4" s="19" t="s">
        <v>15</v>
      </c>
      <c r="V4" s="19" t="s">
        <v>16</v>
      </c>
      <c r="W4" s="19" t="s">
        <v>17</v>
      </c>
      <c r="X4" s="6" t="s">
        <v>18</v>
      </c>
      <c r="Y4" s="14" t="s">
        <v>19</v>
      </c>
      <c r="Z4" s="6" t="s">
        <v>20</v>
      </c>
      <c r="AA4" s="8" t="s">
        <v>21</v>
      </c>
      <c r="AB4" s="6" t="s">
        <v>13</v>
      </c>
      <c r="AC4" s="16" t="s">
        <v>14</v>
      </c>
      <c r="AD4" s="19" t="s">
        <v>15</v>
      </c>
      <c r="AE4" s="19" t="s">
        <v>16</v>
      </c>
      <c r="AF4" s="19" t="s">
        <v>17</v>
      </c>
      <c r="AG4" s="6" t="s">
        <v>18</v>
      </c>
      <c r="AH4" s="11" t="s">
        <v>19</v>
      </c>
      <c r="AI4" s="6" t="s">
        <v>20</v>
      </c>
      <c r="AJ4" s="8" t="s">
        <v>21</v>
      </c>
      <c r="AL4" s="50"/>
      <c r="AM4" s="48"/>
      <c r="AN4" s="48"/>
      <c r="AO4" s="48"/>
      <c r="AQ4" s="49"/>
      <c r="AU4" s="50"/>
      <c r="AV4" s="47"/>
      <c r="AW4" s="47"/>
      <c r="AX4" s="47"/>
      <c r="BD4" s="50"/>
      <c r="BE4" s="48"/>
      <c r="BF4" s="48"/>
      <c r="BG4" s="48"/>
      <c r="BI4" s="49"/>
      <c r="BM4" s="50"/>
      <c r="BN4" s="48"/>
      <c r="BO4" s="48"/>
      <c r="BP4" s="48"/>
      <c r="BR4" s="49"/>
    </row>
    <row r="5" spans="1:70" x14ac:dyDescent="0.2">
      <c r="A5" t="s">
        <v>22</v>
      </c>
      <c r="B5" s="15">
        <v>45949.408333333333</v>
      </c>
      <c r="C5" s="17">
        <v>45951.583333333336</v>
      </c>
      <c r="D5" s="17">
        <v>45955.583333333336</v>
      </c>
      <c r="E5" s="17">
        <v>45955.583333333336</v>
      </c>
      <c r="F5" t="s">
        <v>23</v>
      </c>
      <c r="G5" s="9">
        <v>34700</v>
      </c>
      <c r="H5" t="s">
        <v>24</v>
      </c>
      <c r="I5" s="2" t="s">
        <v>25</v>
      </c>
      <c r="J5" t="s">
        <v>26</v>
      </c>
      <c r="K5" s="15">
        <v>45953.5</v>
      </c>
      <c r="L5" s="17">
        <v>45953.5</v>
      </c>
      <c r="M5" s="17">
        <v>45954.5</v>
      </c>
      <c r="N5" s="17">
        <v>45954.5</v>
      </c>
      <c r="O5" t="s">
        <v>27</v>
      </c>
      <c r="P5" s="9" t="s">
        <v>28</v>
      </c>
      <c r="Q5" t="s">
        <v>28</v>
      </c>
      <c r="S5" t="s">
        <v>29</v>
      </c>
      <c r="T5" s="15">
        <v>45954.5</v>
      </c>
      <c r="U5" s="17">
        <v>45954.5</v>
      </c>
      <c r="V5" s="17">
        <v>45957.5</v>
      </c>
      <c r="W5" s="17">
        <v>45957.5</v>
      </c>
      <c r="X5" t="s">
        <v>30</v>
      </c>
      <c r="Y5" s="12" t="s">
        <v>28</v>
      </c>
      <c r="Z5" t="s">
        <v>28</v>
      </c>
      <c r="AB5" t="s">
        <v>31</v>
      </c>
      <c r="AC5" s="15">
        <v>45954.041666666664</v>
      </c>
      <c r="AD5" s="17">
        <v>45954.041666666664</v>
      </c>
      <c r="AE5" s="17">
        <v>45957.041666666664</v>
      </c>
      <c r="AF5" s="17">
        <v>45957.041666666664</v>
      </c>
      <c r="AG5" t="s">
        <v>32</v>
      </c>
      <c r="AH5" s="9">
        <v>500</v>
      </c>
      <c r="AI5" t="s">
        <v>20</v>
      </c>
    </row>
    <row r="6" spans="1:70" x14ac:dyDescent="0.2">
      <c r="B6" s="15"/>
      <c r="AB6" t="s">
        <v>33</v>
      </c>
      <c r="AC6" s="15">
        <v>45957.375</v>
      </c>
      <c r="AD6" s="17">
        <v>45957.375</v>
      </c>
      <c r="AE6" s="17">
        <v>45958.375</v>
      </c>
      <c r="AF6" s="17">
        <v>45958.375</v>
      </c>
      <c r="AG6" t="s">
        <v>34</v>
      </c>
      <c r="AH6" s="9" t="s">
        <v>28</v>
      </c>
      <c r="AI6" t="s">
        <v>28</v>
      </c>
    </row>
    <row r="7" spans="1:70" x14ac:dyDescent="0.2">
      <c r="B7" s="15"/>
      <c r="AB7" t="s">
        <v>35</v>
      </c>
      <c r="AC7" s="15">
        <v>45961.5</v>
      </c>
      <c r="AD7" s="17">
        <v>45961.5</v>
      </c>
      <c r="AE7" s="17">
        <v>45964.5</v>
      </c>
      <c r="AF7" s="17">
        <v>45964.5</v>
      </c>
      <c r="AG7" t="s">
        <v>32</v>
      </c>
      <c r="AH7" s="9">
        <v>500</v>
      </c>
      <c r="AI7" t="s">
        <v>20</v>
      </c>
    </row>
    <row r="8" spans="1:70" x14ac:dyDescent="0.2">
      <c r="B8" s="15"/>
      <c r="AB8" t="s">
        <v>36</v>
      </c>
      <c r="AC8" s="15">
        <v>45961.5</v>
      </c>
      <c r="AD8" s="17">
        <v>45964.5</v>
      </c>
      <c r="AE8" s="17">
        <v>45967.5</v>
      </c>
      <c r="AF8" s="17">
        <v>45967.5</v>
      </c>
      <c r="AG8" t="s">
        <v>32</v>
      </c>
      <c r="AH8" s="9">
        <v>500</v>
      </c>
      <c r="AI8" t="s">
        <v>20</v>
      </c>
    </row>
    <row r="9" spans="1:70" x14ac:dyDescent="0.2">
      <c r="B9" s="15"/>
      <c r="AB9" t="s">
        <v>37</v>
      </c>
      <c r="AC9" s="15">
        <v>45967.5</v>
      </c>
      <c r="AD9" s="17">
        <v>45967.5</v>
      </c>
      <c r="AE9" s="17">
        <v>45970.5</v>
      </c>
      <c r="AF9" s="17">
        <v>45970.5</v>
      </c>
      <c r="AG9" t="s">
        <v>32</v>
      </c>
      <c r="AH9" s="9">
        <v>500</v>
      </c>
      <c r="AI9" t="s">
        <v>20</v>
      </c>
    </row>
    <row r="10" spans="1:70" x14ac:dyDescent="0.2">
      <c r="AB10" t="s">
        <v>38</v>
      </c>
      <c r="AC10" s="15">
        <v>45974.5</v>
      </c>
      <c r="AD10" s="17">
        <v>45974.5</v>
      </c>
      <c r="AE10" s="17">
        <v>45977.5</v>
      </c>
      <c r="AF10" s="17">
        <v>45977.5</v>
      </c>
      <c r="AG10" t="s">
        <v>32</v>
      </c>
      <c r="AH10" s="9">
        <v>500</v>
      </c>
      <c r="AI10" t="s">
        <v>20</v>
      </c>
    </row>
    <row r="11" spans="1:70" x14ac:dyDescent="0.2">
      <c r="AB11" t="s">
        <v>39</v>
      </c>
      <c r="AC11" s="15">
        <v>45980.5</v>
      </c>
      <c r="AD11" s="17">
        <v>45980.5</v>
      </c>
      <c r="AE11" s="17">
        <v>45983.5</v>
      </c>
      <c r="AF11" s="17">
        <v>45983.5</v>
      </c>
      <c r="AG11" t="s">
        <v>32</v>
      </c>
      <c r="AH11" s="9">
        <v>500</v>
      </c>
      <c r="AI11" t="s">
        <v>20</v>
      </c>
    </row>
    <row r="12" spans="1:70" x14ac:dyDescent="0.2">
      <c r="AB12" t="s">
        <v>40</v>
      </c>
      <c r="AC12" s="15">
        <v>45982.5</v>
      </c>
      <c r="AD12" s="17">
        <v>45983.5</v>
      </c>
      <c r="AE12" s="17">
        <v>45986.5</v>
      </c>
      <c r="AF12" s="17">
        <v>45986.5</v>
      </c>
      <c r="AG12" t="s">
        <v>32</v>
      </c>
      <c r="AH12" s="9">
        <v>500</v>
      </c>
      <c r="AI12" t="s">
        <v>20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4BF1-C17D-A646-953D-08EF218C23DF}">
  <dimension ref="A1:J40"/>
  <sheetViews>
    <sheetView workbookViewId="0">
      <selection activeCell="C27" sqref="C27"/>
    </sheetView>
  </sheetViews>
  <sheetFormatPr baseColWidth="10" defaultColWidth="11" defaultRowHeight="16" x14ac:dyDescent="0.2"/>
  <cols>
    <col min="1" max="1" width="10.83203125" style="2"/>
    <col min="2" max="2" width="19.83203125" customWidth="1"/>
    <col min="3" max="3" width="13.6640625" customWidth="1"/>
    <col min="7" max="7" width="22.83203125" bestFit="1" customWidth="1"/>
    <col min="8" max="8" width="21.5" bestFit="1" customWidth="1"/>
    <col min="10" max="10" width="21.83203125" customWidth="1"/>
  </cols>
  <sheetData>
    <row r="1" spans="1:10" x14ac:dyDescent="0.2">
      <c r="A1" s="39" t="s">
        <v>6</v>
      </c>
    </row>
    <row r="2" spans="1:10" x14ac:dyDescent="0.2">
      <c r="A2"/>
    </row>
    <row r="3" spans="1:10" x14ac:dyDescent="0.2">
      <c r="A3" s="3" t="str" cm="1">
        <f t="array" ref="A3:J14">_xlfn.LET(
    _xlpm.source,Mucuripe!A3:DD75,
    _xlpm.numberOfBlocks,QUOTIENT(COLUMNS(_xlpm.source),9),
    _xlpm.headers,_xlfn.HSTACK(
        "Berth",
        "Vessels Names",
        "ETA",
        "ETB",
        "ETC",
        "ETD",
        "Cargo",
        "Quantity",
        "Load/Disch",
        "Remarks"
    ),
    _xlpm.data,
    _xlfn.REDUCE(
        "",
        _xlfn.SEQUENCE(_xlpm.numberOfBlocks),
        _xlfn.LAMBDA(_xlpm.acc,_xlpm.n,
            _xlfn.LET(
                _xlpm.block,_xlfn.CHOOSECOLS(_xlpm.source,_xlfn.SEQUENCE(1,9,(_xlpm.n-1)*9+1)),
                _xlpm.berth,INDEX(_xlpm.block,1,1),
                _xlpm.vesselRange,_xlfn.DROP(_xlpm.block,2),
                _xlpm.vesselColumn,_xlfn.CHOOSECOLS(_xlpm.vesselRange,1),
                _xlpm.vesselCount,SUM(--(_xlpm.vesselColumn&lt;&gt;"")),
                IF(
                    _xlpm.berth="",
                    _xlpm.acc,
                    IF(
                        _xlpm.vesselCount=0,
                        _xlfn.VSTACK(
                            _xlpm.acc,
                            _xlfn.HSTACK(
                                _xlpm.berth,
                                "",
                                "",
                                "",
                                "",
                                "",
                                "",
                                "",
                                "",
                                ""
                            )
                        ),
                        _xlfn.LET(
                            _xlpm.vesselData,_xlfn._xlws.FILTER(
                                _xlpm.vesselRange,
                                _xlpm.vesselColumn&lt;&gt;""
                            ),
                            _xlpm.cleanData,IF(
                                _xlpm.vesselData="",
                                "",
                                _xlpm.vesselData
                            ),
                            _xlfn.VSTACK(
                                _xlpm.acc,
                                _xlfn.HSTACK(
                                    IF(
                                        _xlfn.SEQUENCE(ROWS(_xlpm.cleanData))=1,
                                        _xlpm.berth,
                                        ""
                                    ),
                                    _xlpm.cleanData
                                )
                            )
                        )
                    )
                )
            )
        )
    ),
    _xlfn.VSTACK(
        _xlpm.headers,
        _xlfn.DROP(_xlpm.data,1)
    )
)</f>
        <v>Berth</v>
      </c>
      <c r="B3" s="6" t="str">
        <v>Vessels Names</v>
      </c>
      <c r="C3" s="16" t="str">
        <v>ETA</v>
      </c>
      <c r="D3" s="38" t="str">
        <v>ETB</v>
      </c>
      <c r="E3" s="38" t="str">
        <v>ETC</v>
      </c>
      <c r="F3" s="38" t="str">
        <v>ETD</v>
      </c>
      <c r="G3" s="6" t="str">
        <v>Cargo</v>
      </c>
      <c r="H3" s="40" t="str">
        <v>Quantity</v>
      </c>
      <c r="I3" s="6" t="str">
        <v>Load/Disch</v>
      </c>
      <c r="J3" s="6" t="str">
        <v>Remarks</v>
      </c>
    </row>
    <row r="4" spans="1:10" x14ac:dyDescent="0.2">
      <c r="A4" s="39" t="str">
        <v>Berth 103</v>
      </c>
      <c r="B4" t="str">
        <v>Lowlands Engel</v>
      </c>
      <c r="C4" s="15">
        <v>45949.408333333333</v>
      </c>
      <c r="D4" s="37">
        <v>45951.583333333336</v>
      </c>
      <c r="E4" s="37">
        <v>45955.583333333336</v>
      </c>
      <c r="F4" s="37">
        <v>45955.583333333336</v>
      </c>
      <c r="G4" t="str">
        <v>Wheat</v>
      </c>
      <c r="H4" s="12">
        <v>34700</v>
      </c>
      <c r="I4" t="str">
        <v>Disch</v>
      </c>
      <c r="J4" t="str">
        <v xml:space="preserve">At Berth. </v>
      </c>
    </row>
    <row r="5" spans="1:10" x14ac:dyDescent="0.2">
      <c r="A5" s="39" t="str">
        <v>Berth 104</v>
      </c>
      <c r="B5" t="str">
        <v>Furor Aquarius</v>
      </c>
      <c r="C5" s="15">
        <v>45953.5</v>
      </c>
      <c r="D5" s="17">
        <v>45953.5</v>
      </c>
      <c r="E5" s="17">
        <v>45954.5</v>
      </c>
      <c r="F5" s="17">
        <v>45954.5</v>
      </c>
      <c r="G5" t="str">
        <v>Bunker</v>
      </c>
      <c r="H5" s="12" t="str">
        <v>-</v>
      </c>
      <c r="I5" t="str">
        <v>-</v>
      </c>
      <c r="J5" t="str">
        <v/>
      </c>
    </row>
    <row r="6" spans="1:10" x14ac:dyDescent="0.2">
      <c r="A6" s="39" t="str">
        <v>Berth 105</v>
      </c>
      <c r="B6" t="str">
        <v>Ara Libertad</v>
      </c>
      <c r="C6" s="15">
        <v>45954.5</v>
      </c>
      <c r="D6" s="17">
        <v>45954.5</v>
      </c>
      <c r="E6" s="17">
        <v>45957.5</v>
      </c>
      <c r="F6" s="17">
        <v>45957.5</v>
      </c>
      <c r="G6" t="str">
        <v>Argentinian Navy</v>
      </c>
      <c r="H6" s="12" t="str">
        <v>-</v>
      </c>
      <c r="I6" t="str">
        <v>-</v>
      </c>
      <c r="J6" t="str">
        <v/>
      </c>
    </row>
    <row r="7" spans="1:10" x14ac:dyDescent="0.2">
      <c r="A7" s="39" t="str">
        <v>Berth 106</v>
      </c>
      <c r="B7" t="str">
        <v>Majestic</v>
      </c>
      <c r="C7" s="15">
        <v>45954.041666666664</v>
      </c>
      <c r="D7" s="17">
        <v>45954.041666666664</v>
      </c>
      <c r="E7" s="17">
        <v>45957.041666666664</v>
      </c>
      <c r="F7" s="17">
        <v>45957.041666666664</v>
      </c>
      <c r="G7" t="str">
        <v>Containers</v>
      </c>
      <c r="H7" s="12">
        <v>500</v>
      </c>
      <c r="I7" t="str">
        <v>Load/Disch</v>
      </c>
      <c r="J7" t="str">
        <v/>
      </c>
    </row>
    <row r="8" spans="1:10" x14ac:dyDescent="0.2">
      <c r="A8" s="39" t="str">
        <v/>
      </c>
      <c r="B8" t="str">
        <v>SH Vega</v>
      </c>
      <c r="C8" s="15">
        <v>45957.375</v>
      </c>
      <c r="D8" s="17">
        <v>45957.375</v>
      </c>
      <c r="E8" s="17">
        <v>45958.375</v>
      </c>
      <c r="F8" s="17">
        <v>45958.375</v>
      </c>
      <c r="G8" t="str">
        <v>Cruise Ship</v>
      </c>
      <c r="H8" s="12" t="str">
        <v>-</v>
      </c>
      <c r="I8" t="str">
        <v>-</v>
      </c>
      <c r="J8" t="str">
        <v/>
      </c>
    </row>
    <row r="9" spans="1:10" x14ac:dyDescent="0.2">
      <c r="A9" s="39" t="str">
        <v/>
      </c>
      <c r="B9" t="str">
        <v>CMA CGM Spirit</v>
      </c>
      <c r="C9" s="15">
        <v>45961.5</v>
      </c>
      <c r="D9" s="17">
        <v>45961.5</v>
      </c>
      <c r="E9" s="17">
        <v>45964.5</v>
      </c>
      <c r="F9" s="17">
        <v>45964.5</v>
      </c>
      <c r="G9" t="str">
        <v>Containers</v>
      </c>
      <c r="H9" s="12">
        <v>500</v>
      </c>
      <c r="I9" t="str">
        <v>Load/Disch</v>
      </c>
      <c r="J9" t="str">
        <v/>
      </c>
    </row>
    <row r="10" spans="1:10" x14ac:dyDescent="0.2">
      <c r="A10" s="39" t="str">
        <v/>
      </c>
      <c r="B10" t="str">
        <v>CMA CGM Cayenne</v>
      </c>
      <c r="C10" s="15">
        <v>45961.5</v>
      </c>
      <c r="D10" s="17">
        <v>45964.5</v>
      </c>
      <c r="E10" s="17">
        <v>45967.5</v>
      </c>
      <c r="F10" s="17">
        <v>45967.5</v>
      </c>
      <c r="G10" t="str">
        <v>Containers</v>
      </c>
      <c r="H10" s="12">
        <v>500</v>
      </c>
      <c r="I10" t="str">
        <v>Load/Disch</v>
      </c>
      <c r="J10" t="str">
        <v/>
      </c>
    </row>
    <row r="11" spans="1:10" x14ac:dyDescent="0.2">
      <c r="A11" s="39" t="str">
        <v/>
      </c>
      <c r="B11" t="str">
        <v>Maya Bay</v>
      </c>
      <c r="C11" s="15">
        <v>45967.5</v>
      </c>
      <c r="D11" s="17">
        <v>45967.5</v>
      </c>
      <c r="E11" s="17">
        <v>45970.5</v>
      </c>
      <c r="F11" s="17">
        <v>45970.5</v>
      </c>
      <c r="G11" t="str">
        <v>Containers</v>
      </c>
      <c r="H11" s="12">
        <v>500</v>
      </c>
      <c r="I11" t="str">
        <v>Load/Disch</v>
      </c>
      <c r="J11" t="str">
        <v/>
      </c>
    </row>
    <row r="12" spans="1:10" x14ac:dyDescent="0.2">
      <c r="A12" s="39" t="str">
        <v/>
      </c>
      <c r="B12" t="str">
        <v>Express Brasil</v>
      </c>
      <c r="C12" s="15">
        <v>45974.5</v>
      </c>
      <c r="D12" s="17">
        <v>45974.5</v>
      </c>
      <c r="E12" s="17">
        <v>45977.5</v>
      </c>
      <c r="F12" s="17">
        <v>45977.5</v>
      </c>
      <c r="G12" t="str">
        <v>Containers</v>
      </c>
      <c r="H12" s="12">
        <v>500</v>
      </c>
      <c r="I12" t="str">
        <v>Load/Disch</v>
      </c>
      <c r="J12" t="str">
        <v/>
      </c>
    </row>
    <row r="13" spans="1:10" x14ac:dyDescent="0.2">
      <c r="A13" s="39" t="str">
        <v/>
      </c>
      <c r="B13" t="str">
        <v>CMA CGM Balboa</v>
      </c>
      <c r="C13" s="15">
        <v>45980.5</v>
      </c>
      <c r="D13" s="17">
        <v>45980.5</v>
      </c>
      <c r="E13" s="17">
        <v>45983.5</v>
      </c>
      <c r="F13" s="17">
        <v>45983.5</v>
      </c>
      <c r="G13" t="str">
        <v>Containers</v>
      </c>
      <c r="H13" s="12">
        <v>500</v>
      </c>
      <c r="I13" t="str">
        <v>Load/Disch</v>
      </c>
      <c r="J13" t="str">
        <v/>
      </c>
    </row>
    <row r="14" spans="1:10" x14ac:dyDescent="0.2">
      <c r="A14" s="39" t="str">
        <v/>
      </c>
      <c r="B14" t="str">
        <v>Douce France</v>
      </c>
      <c r="C14" s="15">
        <v>45982.5</v>
      </c>
      <c r="D14" s="17">
        <v>45983.5</v>
      </c>
      <c r="E14" s="17">
        <v>45986.5</v>
      </c>
      <c r="F14" s="17">
        <v>45986.5</v>
      </c>
      <c r="G14" t="str">
        <v>Containers</v>
      </c>
      <c r="H14" s="12">
        <v>500</v>
      </c>
      <c r="I14" t="str">
        <v>Load/Disch</v>
      </c>
      <c r="J14" t="str">
        <v/>
      </c>
    </row>
    <row r="15" spans="1:10" x14ac:dyDescent="0.2">
      <c r="A15" s="39"/>
      <c r="C15" s="15"/>
      <c r="D15" s="17"/>
      <c r="E15" s="17"/>
      <c r="F15" s="17"/>
      <c r="H15" s="12"/>
    </row>
    <row r="16" spans="1:10" x14ac:dyDescent="0.2">
      <c r="A16" s="39"/>
      <c r="C16" s="15"/>
      <c r="D16" s="17"/>
      <c r="E16" s="17"/>
      <c r="F16" s="17"/>
      <c r="H16" s="12"/>
    </row>
    <row r="17" spans="1:8" x14ac:dyDescent="0.2">
      <c r="A17" s="39"/>
      <c r="C17" s="15"/>
      <c r="D17" s="17"/>
      <c r="E17" s="17"/>
      <c r="F17" s="17"/>
      <c r="H17" s="12"/>
    </row>
    <row r="18" spans="1:8" x14ac:dyDescent="0.2">
      <c r="A18" s="39"/>
      <c r="C18" s="15"/>
      <c r="D18" s="17"/>
      <c r="E18" s="17"/>
      <c r="F18" s="17"/>
      <c r="H18" s="12"/>
    </row>
    <row r="19" spans="1:8" x14ac:dyDescent="0.2">
      <c r="A19" s="39"/>
      <c r="C19" s="15"/>
      <c r="D19" s="17"/>
      <c r="E19" s="17"/>
      <c r="F19" s="17"/>
      <c r="H19" s="12"/>
    </row>
    <row r="20" spans="1:8" x14ac:dyDescent="0.2">
      <c r="A20" s="39"/>
      <c r="C20" s="15"/>
      <c r="D20" s="17"/>
      <c r="E20" s="17"/>
      <c r="F20" s="17"/>
      <c r="H20" s="12"/>
    </row>
    <row r="21" spans="1:8" x14ac:dyDescent="0.2">
      <c r="A21" s="39"/>
      <c r="C21" s="15"/>
      <c r="D21" s="17"/>
      <c r="E21" s="17"/>
      <c r="F21" s="17"/>
      <c r="H21" s="12"/>
    </row>
    <row r="22" spans="1:8" x14ac:dyDescent="0.2">
      <c r="A22" s="39"/>
      <c r="C22" s="15"/>
      <c r="D22" s="17"/>
      <c r="E22" s="17"/>
      <c r="F22" s="17"/>
      <c r="H22" s="12"/>
    </row>
    <row r="23" spans="1:8" x14ac:dyDescent="0.2">
      <c r="A23" s="39"/>
      <c r="C23" s="15"/>
      <c r="D23" s="17"/>
      <c r="E23" s="17"/>
      <c r="F23" s="17"/>
      <c r="H23" s="12"/>
    </row>
    <row r="24" spans="1:8" x14ac:dyDescent="0.2">
      <c r="A24" s="39"/>
      <c r="C24" s="15"/>
      <c r="D24" s="17"/>
      <c r="E24" s="17"/>
      <c r="F24" s="17"/>
      <c r="H24" s="12"/>
    </row>
    <row r="25" spans="1:8" x14ac:dyDescent="0.2">
      <c r="A25" s="39"/>
      <c r="C25" s="15"/>
      <c r="D25" s="17"/>
      <c r="E25" s="17"/>
      <c r="F25" s="17"/>
      <c r="H25" s="12"/>
    </row>
    <row r="26" spans="1:8" x14ac:dyDescent="0.2">
      <c r="A26" s="39"/>
      <c r="C26" s="15"/>
      <c r="D26" s="17"/>
      <c r="E26" s="17"/>
      <c r="F26" s="17"/>
      <c r="H26" s="12"/>
    </row>
    <row r="27" spans="1:8" x14ac:dyDescent="0.2">
      <c r="A27" s="39"/>
      <c r="C27" s="15"/>
      <c r="D27" s="17"/>
      <c r="E27" s="17"/>
      <c r="F27" s="17"/>
      <c r="H27" s="12"/>
    </row>
    <row r="28" spans="1:8" x14ac:dyDescent="0.2">
      <c r="A28" s="39"/>
      <c r="C28" s="15"/>
      <c r="D28" s="17"/>
      <c r="E28" s="17"/>
      <c r="F28" s="17"/>
      <c r="H28" s="12"/>
    </row>
    <row r="29" spans="1:8" x14ac:dyDescent="0.2">
      <c r="A29" s="39"/>
      <c r="C29" s="15"/>
      <c r="D29" s="17"/>
      <c r="E29" s="17"/>
      <c r="F29" s="17"/>
      <c r="H29" s="12"/>
    </row>
    <row r="30" spans="1:8" x14ac:dyDescent="0.2">
      <c r="A30" s="39"/>
      <c r="C30" s="15"/>
      <c r="D30" s="17"/>
      <c r="E30" s="17"/>
      <c r="F30" s="17"/>
      <c r="H30" s="12"/>
    </row>
    <row r="31" spans="1:8" x14ac:dyDescent="0.2">
      <c r="A31" s="39"/>
      <c r="C31" s="15"/>
      <c r="D31" s="17"/>
      <c r="E31" s="17"/>
      <c r="F31" s="17"/>
      <c r="H31" s="12"/>
    </row>
    <row r="32" spans="1:8" x14ac:dyDescent="0.2">
      <c r="A32" s="39"/>
      <c r="C32" s="15"/>
      <c r="D32" s="17"/>
      <c r="E32" s="17"/>
      <c r="F32" s="17"/>
      <c r="H32" s="12"/>
    </row>
    <row r="33" spans="1:8" x14ac:dyDescent="0.2">
      <c r="A33" s="39"/>
      <c r="C33" s="15"/>
      <c r="D33" s="17"/>
      <c r="E33" s="17"/>
      <c r="F33" s="17"/>
      <c r="H33" s="12"/>
    </row>
    <row r="34" spans="1:8" x14ac:dyDescent="0.2">
      <c r="A34" s="39"/>
      <c r="C34" s="15"/>
      <c r="D34" s="17"/>
      <c r="E34" s="17"/>
      <c r="F34" s="17"/>
      <c r="H34" s="12"/>
    </row>
    <row r="35" spans="1:8" x14ac:dyDescent="0.2">
      <c r="A35" s="39"/>
      <c r="C35" s="15"/>
      <c r="D35" s="17"/>
      <c r="E35" s="17"/>
      <c r="F35" s="17"/>
      <c r="H35" s="12"/>
    </row>
    <row r="36" spans="1:8" x14ac:dyDescent="0.2">
      <c r="A36" s="39"/>
      <c r="C36" s="15"/>
      <c r="D36" s="17"/>
      <c r="E36" s="17"/>
      <c r="F36" s="17"/>
      <c r="H36" s="12"/>
    </row>
    <row r="37" spans="1:8" x14ac:dyDescent="0.2">
      <c r="A37" s="39"/>
      <c r="C37" s="15"/>
      <c r="D37" s="17"/>
      <c r="E37" s="17"/>
      <c r="F37" s="17"/>
      <c r="H37" s="12"/>
    </row>
    <row r="38" spans="1:8" x14ac:dyDescent="0.2">
      <c r="A38" s="39"/>
      <c r="C38" s="15"/>
      <c r="D38" s="17"/>
      <c r="E38" s="17"/>
      <c r="F38" s="17"/>
      <c r="H38" s="12"/>
    </row>
    <row r="39" spans="1:8" x14ac:dyDescent="0.2">
      <c r="A39" s="39"/>
      <c r="C39" s="15"/>
      <c r="D39" s="17"/>
      <c r="E39" s="17"/>
      <c r="F39" s="17"/>
      <c r="H39" s="12"/>
    </row>
    <row r="40" spans="1:8" x14ac:dyDescent="0.2">
      <c r="A40" s="39"/>
      <c r="C40" s="15"/>
      <c r="D40" s="17"/>
      <c r="E40" s="17"/>
      <c r="F40" s="17"/>
      <c r="H4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9201-2C7F-1845-95ED-6417DFC79117}">
  <dimension ref="A1:BT12"/>
  <sheetViews>
    <sheetView workbookViewId="0"/>
  </sheetViews>
  <sheetFormatPr baseColWidth="10" defaultColWidth="11" defaultRowHeight="16" x14ac:dyDescent="0.2"/>
  <cols>
    <col min="1" max="1" width="17.6640625" customWidth="1"/>
    <col min="2" max="2" width="14.33203125" style="1" customWidth="1"/>
    <col min="3" max="5" width="10.83203125" style="17"/>
    <col min="6" max="6" width="23.83203125" customWidth="1"/>
    <col min="7" max="7" width="22.1640625" style="9" customWidth="1"/>
    <col min="9" max="9" width="22.1640625" style="2" customWidth="1"/>
    <col min="10" max="10" width="17.6640625" customWidth="1"/>
    <col min="11" max="11" width="14.33203125" style="15" customWidth="1"/>
    <col min="12" max="14" width="10.83203125" style="17"/>
    <col min="15" max="15" width="23.83203125" customWidth="1"/>
    <col min="16" max="16" width="22.1640625" style="9" customWidth="1"/>
    <col min="18" max="18" width="22.1640625" style="2" customWidth="1"/>
    <col min="19" max="19" width="17.33203125" customWidth="1"/>
    <col min="20" max="20" width="14.33203125" style="15" customWidth="1"/>
    <col min="21" max="23" width="10.83203125" style="17"/>
    <col min="24" max="24" width="23.83203125" customWidth="1"/>
    <col min="25" max="25" width="22.1640625" style="12" customWidth="1"/>
    <col min="27" max="27" width="22.1640625" style="2" customWidth="1"/>
    <col min="28" max="28" width="17.6640625" customWidth="1"/>
    <col min="29" max="29" width="14.33203125" style="15" customWidth="1"/>
    <col min="30" max="32" width="10.83203125" style="17"/>
    <col min="33" max="33" width="23.83203125" customWidth="1"/>
    <col min="34" max="34" width="22.1640625" style="9" customWidth="1"/>
    <col min="36" max="36" width="22.1640625" style="2" customWidth="1"/>
    <col min="37" max="37" width="15.5" customWidth="1"/>
    <col min="38" max="38" width="14.33203125" style="15" customWidth="1"/>
    <col min="39" max="41" width="10.83203125" style="17"/>
    <col min="42" max="42" width="23.83203125" customWidth="1"/>
    <col min="43" max="43" width="22.1640625" style="9" customWidth="1"/>
    <col min="45" max="45" width="22.1640625" style="2" customWidth="1"/>
    <col min="46" max="46" width="17" customWidth="1"/>
    <col min="47" max="47" width="14.33203125" style="15" customWidth="1"/>
    <col min="54" max="54" width="22.1640625" style="2" customWidth="1"/>
    <col min="55" max="55" width="17.6640625" customWidth="1"/>
    <col min="56" max="56" width="14.33203125" style="15" customWidth="1"/>
    <col min="57" max="59" width="10.83203125" style="17"/>
    <col min="60" max="60" width="23.83203125" customWidth="1"/>
    <col min="61" max="61" width="22.1640625" style="9" customWidth="1"/>
    <col min="63" max="63" width="22.1640625" style="2" customWidth="1"/>
    <col min="64" max="64" width="17.6640625" customWidth="1"/>
    <col min="65" max="65" width="14.33203125" style="15" customWidth="1"/>
    <col min="66" max="68" width="10.83203125" style="17"/>
    <col min="69" max="69" width="23.83203125" customWidth="1"/>
    <col min="70" max="70" width="22.1640625" style="9" customWidth="1"/>
    <col min="72" max="72" width="22.1640625" style="2" customWidth="1"/>
  </cols>
  <sheetData>
    <row r="1" spans="1:72" x14ac:dyDescent="0.2">
      <c r="A1" s="3" t="s">
        <v>41</v>
      </c>
    </row>
    <row r="2" spans="1:72" x14ac:dyDescent="0.2">
      <c r="A2" s="35"/>
      <c r="B2" s="41"/>
    </row>
    <row r="3" spans="1:72" s="4" customFormat="1" x14ac:dyDescent="0.2">
      <c r="A3" s="4" t="s">
        <v>43</v>
      </c>
      <c r="C3" s="18"/>
      <c r="D3" s="18"/>
      <c r="E3" s="18"/>
      <c r="G3" s="10"/>
      <c r="I3" s="5"/>
      <c r="J3" s="4" t="s">
        <v>44</v>
      </c>
      <c r="K3" s="15"/>
      <c r="L3" s="18"/>
      <c r="M3" s="18"/>
      <c r="N3" s="18"/>
      <c r="P3" s="10"/>
      <c r="R3" s="5"/>
      <c r="S3" s="4" t="s">
        <v>45</v>
      </c>
      <c r="T3" s="15"/>
      <c r="U3" s="18"/>
      <c r="V3" s="18"/>
      <c r="W3" s="18"/>
      <c r="Y3" s="13"/>
      <c r="AA3" s="5"/>
      <c r="AB3" s="4" t="s">
        <v>46</v>
      </c>
      <c r="AC3" s="15"/>
      <c r="AD3" s="18"/>
      <c r="AE3" s="18"/>
      <c r="AF3" s="18"/>
      <c r="AH3" s="10"/>
      <c r="AJ3" s="5"/>
      <c r="AK3" s="4" t="s">
        <v>47</v>
      </c>
      <c r="AL3" s="15"/>
      <c r="AM3" s="18"/>
      <c r="AN3" s="18"/>
      <c r="AO3" s="18"/>
      <c r="AQ3" s="10"/>
      <c r="AS3" s="5"/>
      <c r="AT3" s="4" t="s">
        <v>48</v>
      </c>
      <c r="AU3" s="15"/>
      <c r="BB3" s="5"/>
      <c r="BC3" s="4" t="s">
        <v>49</v>
      </c>
      <c r="BD3" s="15"/>
      <c r="BE3" s="18"/>
      <c r="BF3" s="18"/>
      <c r="BG3" s="18"/>
      <c r="BI3" s="10"/>
      <c r="BK3" s="5"/>
      <c r="BL3" s="4" t="s">
        <v>50</v>
      </c>
      <c r="BM3" s="15"/>
      <c r="BN3" s="18"/>
      <c r="BO3" s="18"/>
      <c r="BP3" s="18"/>
      <c r="BR3" s="10"/>
      <c r="BT3" s="5"/>
    </row>
    <row r="4" spans="1:72" s="3" customFormat="1" x14ac:dyDescent="0.2">
      <c r="A4" s="6" t="s">
        <v>13</v>
      </c>
      <c r="B4" s="7" t="s">
        <v>14</v>
      </c>
      <c r="C4" s="19" t="s">
        <v>15</v>
      </c>
      <c r="D4" s="19" t="s">
        <v>16</v>
      </c>
      <c r="E4" s="19" t="s">
        <v>17</v>
      </c>
      <c r="F4" s="6" t="s">
        <v>18</v>
      </c>
      <c r="G4" s="11" t="s">
        <v>19</v>
      </c>
      <c r="H4" s="6" t="s">
        <v>20</v>
      </c>
      <c r="I4" s="8" t="s">
        <v>21</v>
      </c>
      <c r="J4" s="6" t="s">
        <v>13</v>
      </c>
      <c r="K4" s="16" t="s">
        <v>14</v>
      </c>
      <c r="L4" s="19" t="s">
        <v>15</v>
      </c>
      <c r="M4" s="19" t="s">
        <v>16</v>
      </c>
      <c r="N4" s="19" t="s">
        <v>17</v>
      </c>
      <c r="O4" s="6" t="s">
        <v>18</v>
      </c>
      <c r="P4" s="11" t="s">
        <v>19</v>
      </c>
      <c r="Q4" s="6" t="s">
        <v>20</v>
      </c>
      <c r="R4" s="8" t="s">
        <v>21</v>
      </c>
      <c r="S4" s="6" t="s">
        <v>13</v>
      </c>
      <c r="T4" s="16" t="s">
        <v>14</v>
      </c>
      <c r="U4" s="19" t="s">
        <v>15</v>
      </c>
      <c r="V4" s="19" t="s">
        <v>16</v>
      </c>
      <c r="W4" s="19" t="s">
        <v>17</v>
      </c>
      <c r="X4" s="6" t="s">
        <v>18</v>
      </c>
      <c r="Y4" s="14" t="s">
        <v>19</v>
      </c>
      <c r="Z4" s="6" t="s">
        <v>20</v>
      </c>
      <c r="AA4" s="8" t="s">
        <v>21</v>
      </c>
      <c r="AB4" s="6" t="s">
        <v>13</v>
      </c>
      <c r="AC4" s="16" t="s">
        <v>14</v>
      </c>
      <c r="AD4" s="19" t="s">
        <v>15</v>
      </c>
      <c r="AE4" s="19" t="s">
        <v>16</v>
      </c>
      <c r="AF4" s="19" t="s">
        <v>17</v>
      </c>
      <c r="AG4" s="6" t="s">
        <v>18</v>
      </c>
      <c r="AH4" s="11" t="s">
        <v>19</v>
      </c>
      <c r="AI4" s="6" t="s">
        <v>20</v>
      </c>
      <c r="AJ4" s="8" t="s">
        <v>21</v>
      </c>
      <c r="AK4" s="6" t="s">
        <v>13</v>
      </c>
      <c r="AL4" s="16" t="s">
        <v>14</v>
      </c>
      <c r="AM4" s="19" t="s">
        <v>15</v>
      </c>
      <c r="AN4" s="19" t="s">
        <v>16</v>
      </c>
      <c r="AO4" s="19" t="s">
        <v>17</v>
      </c>
      <c r="AP4" s="6" t="s">
        <v>18</v>
      </c>
      <c r="AQ4" s="11" t="s">
        <v>19</v>
      </c>
      <c r="AR4" s="6" t="s">
        <v>20</v>
      </c>
      <c r="AS4" s="8" t="s">
        <v>21</v>
      </c>
      <c r="AT4" s="6" t="s">
        <v>13</v>
      </c>
      <c r="AU4" s="16" t="s">
        <v>14</v>
      </c>
      <c r="AV4" s="7" t="s">
        <v>15</v>
      </c>
      <c r="AW4" s="7" t="s">
        <v>16</v>
      </c>
      <c r="AX4" s="7" t="s">
        <v>17</v>
      </c>
      <c r="AY4" s="6" t="s">
        <v>18</v>
      </c>
      <c r="AZ4" s="6" t="s">
        <v>19</v>
      </c>
      <c r="BA4" s="6" t="s">
        <v>20</v>
      </c>
      <c r="BB4" s="8" t="s">
        <v>21</v>
      </c>
      <c r="BC4" s="6" t="s">
        <v>13</v>
      </c>
      <c r="BD4" s="16" t="s">
        <v>14</v>
      </c>
      <c r="BE4" s="19" t="s">
        <v>15</v>
      </c>
      <c r="BF4" s="19" t="s">
        <v>16</v>
      </c>
      <c r="BG4" s="19" t="s">
        <v>17</v>
      </c>
      <c r="BH4" s="6" t="s">
        <v>18</v>
      </c>
      <c r="BI4" s="11" t="s">
        <v>19</v>
      </c>
      <c r="BJ4" s="6" t="s">
        <v>20</v>
      </c>
      <c r="BK4" s="8" t="s">
        <v>21</v>
      </c>
      <c r="BL4" s="6" t="s">
        <v>13</v>
      </c>
      <c r="BM4" s="16" t="s">
        <v>14</v>
      </c>
      <c r="BN4" s="19" t="s">
        <v>15</v>
      </c>
      <c r="BO4" s="19" t="s">
        <v>16</v>
      </c>
      <c r="BP4" s="19" t="s">
        <v>17</v>
      </c>
      <c r="BQ4" s="6" t="s">
        <v>18</v>
      </c>
      <c r="BR4" s="11" t="s">
        <v>19</v>
      </c>
      <c r="BS4" s="6" t="s">
        <v>20</v>
      </c>
      <c r="BT4" s="8" t="s">
        <v>21</v>
      </c>
    </row>
    <row r="5" spans="1:72" x14ac:dyDescent="0.2">
      <c r="A5" t="s">
        <v>51</v>
      </c>
      <c r="B5" s="15">
        <v>45947.65625</v>
      </c>
      <c r="C5" s="17">
        <v>45955.747916666667</v>
      </c>
      <c r="D5" s="17">
        <v>45962.747916666667</v>
      </c>
      <c r="E5" s="17">
        <v>45962.747916666667</v>
      </c>
      <c r="F5" t="s">
        <v>52</v>
      </c>
      <c r="G5" s="9">
        <v>70000</v>
      </c>
      <c r="H5" t="s">
        <v>53</v>
      </c>
      <c r="I5" s="2" t="s">
        <v>25</v>
      </c>
      <c r="J5" t="s">
        <v>54</v>
      </c>
      <c r="K5" s="15">
        <v>45951.663194444445</v>
      </c>
      <c r="L5" s="17">
        <v>45953.75277777778</v>
      </c>
      <c r="M5" s="17">
        <v>45961.75277777778</v>
      </c>
      <c r="N5" s="17">
        <v>45961.75277777778</v>
      </c>
      <c r="O5" t="s">
        <v>55</v>
      </c>
      <c r="P5" s="9">
        <v>115000</v>
      </c>
      <c r="Q5" t="s">
        <v>53</v>
      </c>
      <c r="R5" s="2" t="s">
        <v>25</v>
      </c>
      <c r="S5" t="s">
        <v>56</v>
      </c>
      <c r="T5" s="15">
        <v>45952.15</v>
      </c>
      <c r="U5" s="17">
        <v>45957.5</v>
      </c>
      <c r="X5" t="s">
        <v>57</v>
      </c>
      <c r="Y5" s="12">
        <v>1674</v>
      </c>
      <c r="Z5" t="s">
        <v>53</v>
      </c>
      <c r="AB5" t="s">
        <v>58</v>
      </c>
      <c r="AC5" s="15">
        <v>45943.3125</v>
      </c>
      <c r="AD5" s="17">
        <v>45952.586805555555</v>
      </c>
      <c r="AE5" s="17">
        <v>45961.586805555555</v>
      </c>
      <c r="AF5" s="17">
        <v>45961.586805555555</v>
      </c>
      <c r="AG5" t="s">
        <v>59</v>
      </c>
      <c r="AH5" s="9">
        <v>16197</v>
      </c>
      <c r="AI5" t="s">
        <v>53</v>
      </c>
      <c r="AJ5" s="2" t="s">
        <v>25</v>
      </c>
      <c r="AK5" t="s">
        <v>60</v>
      </c>
      <c r="AL5" s="15">
        <v>45946.645833333336</v>
      </c>
      <c r="AM5" s="17">
        <v>45955.311111111114</v>
      </c>
      <c r="AN5" s="17">
        <v>45957.311111111114</v>
      </c>
      <c r="AO5" s="17">
        <v>45957.311111111114</v>
      </c>
      <c r="AP5" t="s">
        <v>61</v>
      </c>
      <c r="AQ5" s="9">
        <v>19845</v>
      </c>
      <c r="AR5" t="s">
        <v>62</v>
      </c>
      <c r="AS5" s="2" t="s">
        <v>25</v>
      </c>
      <c r="BC5" t="s">
        <v>63</v>
      </c>
      <c r="BD5" s="15">
        <v>45954.583333333336</v>
      </c>
      <c r="BE5" s="17">
        <v>45956.895833333336</v>
      </c>
      <c r="BH5" t="s">
        <v>64</v>
      </c>
      <c r="BI5" s="9">
        <v>205</v>
      </c>
      <c r="BJ5" t="s">
        <v>20</v>
      </c>
      <c r="BK5" s="2" t="s">
        <v>65</v>
      </c>
      <c r="BL5" t="s">
        <v>66</v>
      </c>
      <c r="BM5" s="15">
        <v>45952.041666666664</v>
      </c>
      <c r="BN5" s="17">
        <v>45952.041666666664</v>
      </c>
      <c r="BQ5" t="s">
        <v>64</v>
      </c>
      <c r="BR5" s="9">
        <v>441</v>
      </c>
      <c r="BS5" t="s">
        <v>20</v>
      </c>
      <c r="BT5" s="2" t="s">
        <v>65</v>
      </c>
    </row>
    <row r="6" spans="1:72" x14ac:dyDescent="0.2">
      <c r="A6" t="s">
        <v>67</v>
      </c>
      <c r="B6" s="15">
        <v>45952.729166666664</v>
      </c>
      <c r="C6" s="17">
        <v>45962.747916666667</v>
      </c>
      <c r="D6" s="17">
        <v>45967.747916666667</v>
      </c>
      <c r="E6" s="17">
        <v>45967.747916666667</v>
      </c>
      <c r="F6" t="s">
        <v>68</v>
      </c>
      <c r="G6" s="9">
        <v>55000</v>
      </c>
      <c r="H6" t="s">
        <v>53</v>
      </c>
      <c r="J6" t="s">
        <v>69</v>
      </c>
      <c r="K6" s="15">
        <v>45966.5</v>
      </c>
      <c r="L6" s="17">
        <v>45966.5</v>
      </c>
      <c r="M6" s="17">
        <v>45974.5</v>
      </c>
      <c r="N6" s="17">
        <v>45974.5</v>
      </c>
      <c r="O6" t="s">
        <v>55</v>
      </c>
      <c r="P6" s="9">
        <v>115000</v>
      </c>
      <c r="Q6" t="s">
        <v>53</v>
      </c>
      <c r="S6" t="s">
        <v>70</v>
      </c>
      <c r="T6" s="15">
        <v>45953.3</v>
      </c>
      <c r="X6" t="s">
        <v>61</v>
      </c>
      <c r="Y6" s="12">
        <v>30240</v>
      </c>
      <c r="Z6" t="s">
        <v>62</v>
      </c>
      <c r="AA6" s="2" t="s">
        <v>71</v>
      </c>
      <c r="AB6" t="s">
        <v>72</v>
      </c>
      <c r="AC6" s="15">
        <v>45961.5</v>
      </c>
      <c r="AD6" s="17">
        <v>45961.5</v>
      </c>
      <c r="AE6" s="17">
        <v>45974.5</v>
      </c>
      <c r="AF6" s="17">
        <v>45974.5</v>
      </c>
      <c r="AG6" t="s">
        <v>59</v>
      </c>
      <c r="AH6" s="9">
        <v>38932</v>
      </c>
      <c r="AI6" t="s">
        <v>53</v>
      </c>
      <c r="AK6" t="s">
        <v>73</v>
      </c>
      <c r="AL6" s="15">
        <v>45952.708333333336</v>
      </c>
      <c r="AM6" s="17">
        <v>45957.311111111114</v>
      </c>
      <c r="AN6" s="17">
        <v>45963.311111111114</v>
      </c>
      <c r="AO6" s="17">
        <v>45963.311111111114</v>
      </c>
      <c r="AP6" t="s">
        <v>61</v>
      </c>
      <c r="AQ6" s="9">
        <v>58590</v>
      </c>
      <c r="AR6" t="s">
        <v>62</v>
      </c>
      <c r="AS6" s="2" t="s">
        <v>74</v>
      </c>
      <c r="BC6" t="s">
        <v>75</v>
      </c>
      <c r="BD6" s="15">
        <v>45955.583333333336</v>
      </c>
      <c r="BE6" s="17">
        <v>45955.583333333336</v>
      </c>
      <c r="BF6" s="17">
        <v>45956.583333333336</v>
      </c>
      <c r="BG6" s="17">
        <v>45956.583333333336</v>
      </c>
      <c r="BH6" t="s">
        <v>64</v>
      </c>
      <c r="BI6" s="9">
        <v>958</v>
      </c>
      <c r="BJ6" t="s">
        <v>20</v>
      </c>
      <c r="BL6" t="s">
        <v>76</v>
      </c>
      <c r="BM6" s="15">
        <v>45952.791666666664</v>
      </c>
      <c r="BN6" s="17">
        <v>45952.791666666664</v>
      </c>
      <c r="BO6" s="17">
        <v>45953.791666666664</v>
      </c>
      <c r="BP6" s="17">
        <v>45953.791666666664</v>
      </c>
      <c r="BQ6" t="s">
        <v>64</v>
      </c>
      <c r="BR6" s="9">
        <v>1015</v>
      </c>
      <c r="BS6" t="s">
        <v>20</v>
      </c>
    </row>
    <row r="7" spans="1:72" x14ac:dyDescent="0.2">
      <c r="A7" t="s">
        <v>77</v>
      </c>
      <c r="B7" s="15">
        <v>45964.5</v>
      </c>
      <c r="C7" s="17">
        <v>45967.747916666667</v>
      </c>
      <c r="D7" s="17">
        <v>45972.747916666667</v>
      </c>
      <c r="E7" s="17">
        <v>45972.747916666667</v>
      </c>
      <c r="F7" t="s">
        <v>68</v>
      </c>
      <c r="G7" s="9">
        <v>55000</v>
      </c>
      <c r="H7" t="s">
        <v>53</v>
      </c>
      <c r="J7" t="s">
        <v>78</v>
      </c>
      <c r="K7" s="15">
        <v>45972.5</v>
      </c>
      <c r="L7" s="17">
        <v>45974.5</v>
      </c>
      <c r="M7" s="17">
        <v>45982.5</v>
      </c>
      <c r="N7" s="17">
        <v>45982.5</v>
      </c>
      <c r="O7" t="s">
        <v>55</v>
      </c>
      <c r="P7" s="9">
        <v>115000</v>
      </c>
      <c r="Q7" t="s">
        <v>53</v>
      </c>
      <c r="S7" t="s">
        <v>79</v>
      </c>
      <c r="T7" s="15">
        <v>45955.284722222219</v>
      </c>
      <c r="X7" t="s">
        <v>80</v>
      </c>
      <c r="Y7" s="12" t="s">
        <v>81</v>
      </c>
      <c r="Z7" t="s">
        <v>53</v>
      </c>
      <c r="AB7" t="s">
        <v>82</v>
      </c>
      <c r="AC7" s="15">
        <v>45938.5</v>
      </c>
      <c r="AD7" s="17">
        <v>45974.5</v>
      </c>
      <c r="AE7" s="17">
        <v>45984.5</v>
      </c>
      <c r="AF7" s="17">
        <v>45984.5</v>
      </c>
      <c r="AG7" t="s">
        <v>59</v>
      </c>
      <c r="AH7" s="9">
        <v>28764.65</v>
      </c>
      <c r="AI7" t="s">
        <v>53</v>
      </c>
      <c r="AK7" t="s">
        <v>83</v>
      </c>
      <c r="AL7" s="15">
        <v>45964.5</v>
      </c>
      <c r="AM7" s="17">
        <v>45964.5</v>
      </c>
      <c r="AN7" s="17">
        <v>45968.5</v>
      </c>
      <c r="AO7" s="17">
        <v>45968.5</v>
      </c>
      <c r="AP7" t="s">
        <v>61</v>
      </c>
      <c r="AQ7" s="9">
        <v>40320</v>
      </c>
      <c r="AR7" t="s">
        <v>62</v>
      </c>
      <c r="AS7" s="2" t="s">
        <v>84</v>
      </c>
      <c r="BC7" t="s">
        <v>85</v>
      </c>
      <c r="BD7" s="15">
        <v>45956.291666666664</v>
      </c>
      <c r="BE7" s="17">
        <v>45956.583333333336</v>
      </c>
      <c r="BF7" s="17">
        <v>45957.583333333336</v>
      </c>
      <c r="BG7" s="17">
        <v>45957.583333333336</v>
      </c>
      <c r="BH7" t="s">
        <v>64</v>
      </c>
      <c r="BI7" s="9">
        <v>832</v>
      </c>
      <c r="BJ7" t="s">
        <v>20</v>
      </c>
      <c r="BL7" t="s">
        <v>86</v>
      </c>
      <c r="BM7" s="15">
        <v>45954.208333333336</v>
      </c>
      <c r="BN7" s="17">
        <v>45954.208333333336</v>
      </c>
      <c r="BQ7" t="s">
        <v>64</v>
      </c>
      <c r="BR7" s="9">
        <v>128</v>
      </c>
      <c r="BS7" t="s">
        <v>20</v>
      </c>
    </row>
    <row r="8" spans="1:72" x14ac:dyDescent="0.2">
      <c r="A8" t="s">
        <v>87</v>
      </c>
      <c r="B8" s="15">
        <v>45944.39166666667</v>
      </c>
      <c r="C8" s="17">
        <v>45972.747916666667</v>
      </c>
      <c r="D8" s="17">
        <v>45979.747916666667</v>
      </c>
      <c r="E8" s="17">
        <v>45979.747916666667</v>
      </c>
      <c r="F8" t="s">
        <v>52</v>
      </c>
      <c r="G8" s="9">
        <v>65000</v>
      </c>
      <c r="H8" t="s">
        <v>53</v>
      </c>
      <c r="J8" t="s">
        <v>78</v>
      </c>
      <c r="K8" s="15">
        <v>45979.5</v>
      </c>
      <c r="L8" s="17">
        <v>45982.5</v>
      </c>
      <c r="M8" s="17">
        <v>45990.5</v>
      </c>
      <c r="N8" s="17">
        <v>45990.5</v>
      </c>
      <c r="O8" t="s">
        <v>55</v>
      </c>
      <c r="P8" s="9">
        <v>115000</v>
      </c>
      <c r="Q8" t="s">
        <v>53</v>
      </c>
      <c r="S8" t="s">
        <v>88</v>
      </c>
      <c r="T8" s="15">
        <v>45956.458333333336</v>
      </c>
      <c r="X8" t="s">
        <v>89</v>
      </c>
      <c r="Y8" s="12">
        <v>9000</v>
      </c>
      <c r="Z8" t="s">
        <v>62</v>
      </c>
      <c r="AK8" t="s">
        <v>90</v>
      </c>
      <c r="AL8" s="15">
        <v>45968.5</v>
      </c>
      <c r="AM8" s="17">
        <v>45968.5</v>
      </c>
      <c r="AN8" s="17">
        <v>45972.5</v>
      </c>
      <c r="AO8" s="17">
        <v>45972.5</v>
      </c>
      <c r="AP8" t="s">
        <v>61</v>
      </c>
      <c r="AQ8" s="9">
        <v>40005</v>
      </c>
      <c r="AR8" t="s">
        <v>62</v>
      </c>
      <c r="AS8" s="2" t="s">
        <v>91</v>
      </c>
      <c r="BC8" t="s">
        <v>92</v>
      </c>
      <c r="BD8" s="15">
        <v>45959.083333333336</v>
      </c>
      <c r="BE8" s="17">
        <v>45959.083333333336</v>
      </c>
      <c r="BH8" t="s">
        <v>64</v>
      </c>
      <c r="BI8" s="9">
        <v>200</v>
      </c>
      <c r="BJ8" t="s">
        <v>20</v>
      </c>
      <c r="BL8" t="s">
        <v>93</v>
      </c>
      <c r="BM8" s="15">
        <v>45955.25</v>
      </c>
      <c r="BN8" s="17">
        <v>45955.25</v>
      </c>
      <c r="BQ8" t="s">
        <v>64</v>
      </c>
      <c r="BR8" s="9">
        <v>360</v>
      </c>
      <c r="BS8" t="s">
        <v>20</v>
      </c>
    </row>
    <row r="9" spans="1:72" x14ac:dyDescent="0.2">
      <c r="A9" t="s">
        <v>94</v>
      </c>
      <c r="B9" s="15">
        <v>45983.5</v>
      </c>
      <c r="C9" s="17">
        <v>45983.5</v>
      </c>
      <c r="D9" s="17">
        <v>45988.5</v>
      </c>
      <c r="E9" s="17">
        <v>45988.5</v>
      </c>
      <c r="F9" t="s">
        <v>52</v>
      </c>
      <c r="G9" s="9">
        <v>70000</v>
      </c>
      <c r="H9" t="s">
        <v>53</v>
      </c>
      <c r="S9" t="s">
        <v>95</v>
      </c>
      <c r="T9" s="15">
        <v>45959.5</v>
      </c>
      <c r="X9" t="s">
        <v>80</v>
      </c>
      <c r="Y9" s="12" t="s">
        <v>96</v>
      </c>
      <c r="Z9" t="s">
        <v>53</v>
      </c>
      <c r="BC9" t="s">
        <v>97</v>
      </c>
      <c r="BD9" s="15">
        <v>45959.791666666664</v>
      </c>
      <c r="BH9" t="s">
        <v>64</v>
      </c>
      <c r="BI9" s="9">
        <v>1000</v>
      </c>
      <c r="BJ9" t="s">
        <v>20</v>
      </c>
      <c r="BL9" t="s">
        <v>98</v>
      </c>
      <c r="BM9" s="15">
        <v>45956.208333333336</v>
      </c>
      <c r="BN9" s="17">
        <v>45956.208333333336</v>
      </c>
      <c r="BQ9" t="s">
        <v>64</v>
      </c>
      <c r="BR9" s="9">
        <v>289</v>
      </c>
      <c r="BS9" t="s">
        <v>20</v>
      </c>
    </row>
    <row r="10" spans="1:72" x14ac:dyDescent="0.2">
      <c r="S10" t="s">
        <v>99</v>
      </c>
      <c r="T10" s="15">
        <v>45964.5</v>
      </c>
      <c r="U10" s="17">
        <v>45964.5</v>
      </c>
      <c r="X10" t="s">
        <v>100</v>
      </c>
      <c r="Y10" s="12">
        <v>6300</v>
      </c>
      <c r="Z10" t="s">
        <v>62</v>
      </c>
      <c r="BC10" t="s">
        <v>101</v>
      </c>
      <c r="BD10" s="15">
        <v>45960.458333333336</v>
      </c>
      <c r="BH10" t="s">
        <v>64</v>
      </c>
      <c r="BI10" s="9">
        <v>762</v>
      </c>
      <c r="BJ10" t="s">
        <v>20</v>
      </c>
      <c r="BL10" t="s">
        <v>102</v>
      </c>
      <c r="BM10" s="15">
        <v>45957.25</v>
      </c>
      <c r="BN10" s="17">
        <v>45957.25</v>
      </c>
      <c r="BQ10" t="s">
        <v>64</v>
      </c>
      <c r="BR10" s="9">
        <v>246</v>
      </c>
      <c r="BS10" t="s">
        <v>20</v>
      </c>
    </row>
    <row r="11" spans="1:72" x14ac:dyDescent="0.2">
      <c r="S11" t="s">
        <v>103</v>
      </c>
      <c r="T11" s="15">
        <v>45969.5</v>
      </c>
      <c r="U11" s="17">
        <v>45969.5</v>
      </c>
      <c r="V11" s="17">
        <v>45969.5</v>
      </c>
      <c r="W11" s="17">
        <v>45969.5</v>
      </c>
    </row>
    <row r="12" spans="1:72" x14ac:dyDescent="0.2">
      <c r="S12" t="s">
        <v>104</v>
      </c>
      <c r="T12" s="15">
        <v>45984.5</v>
      </c>
      <c r="U12" s="17">
        <v>45984.5</v>
      </c>
      <c r="V12" s="17">
        <v>45987.5</v>
      </c>
      <c r="W12" s="17">
        <v>45987.5</v>
      </c>
      <c r="X12" t="s">
        <v>105</v>
      </c>
      <c r="Y12" s="12" t="s">
        <v>106</v>
      </c>
      <c r="Z12" t="s">
        <v>62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C3CE-8D61-DF4A-9B42-48B5D42FFCAD}">
  <dimension ref="A1:J40"/>
  <sheetViews>
    <sheetView workbookViewId="0">
      <selection activeCell="B17" sqref="B17"/>
    </sheetView>
  </sheetViews>
  <sheetFormatPr baseColWidth="10" defaultColWidth="11" defaultRowHeight="16" x14ac:dyDescent="0.2"/>
  <cols>
    <col min="1" max="1" width="10.83203125" style="39"/>
    <col min="2" max="2" width="19.83203125" customWidth="1"/>
    <col min="3" max="3" width="13.6640625" style="15" customWidth="1"/>
    <col min="4" max="6" width="10.83203125" style="17"/>
    <col min="7" max="7" width="22.83203125" bestFit="1" customWidth="1"/>
    <col min="8" max="8" width="21.5" style="12" bestFit="1" customWidth="1"/>
    <col min="10" max="10" width="21.83203125" customWidth="1"/>
  </cols>
  <sheetData>
    <row r="1" spans="1:10" x14ac:dyDescent="0.2">
      <c r="A1" s="3" t="s">
        <v>41</v>
      </c>
    </row>
    <row r="2" spans="1:10" x14ac:dyDescent="0.2">
      <c r="A2" s="3"/>
    </row>
    <row r="3" spans="1:10" s="3" customFormat="1" x14ac:dyDescent="0.2">
      <c r="A3" s="3" t="str" cm="1">
        <f t="array" ref="A3:J40">_xlfn.LET(
    _xlpm.source,Pecem!A3:DD75,
    _xlpm.numberOfBlocks,QUOTIENT(COLUMNS(_xlpm.source),9),
    _xlpm.headers,_xlfn.HSTACK(
        "Berth",
        "Vessels Names",
        "ETA",
        "ETB",
        "ETC",
        "ETD",
        "Cargo",
        "Quantity",
        "Load/Disch",
        "Remarks"
    ),
    _xlpm.data,
    _xlfn.REDUCE(
        "",
        _xlfn.SEQUENCE(_xlpm.numberOfBlocks),
        _xlfn.LAMBDA(_xlpm.acc,_xlpm.n,
            _xlfn.LET(
                _xlpm.block,_xlfn.CHOOSECOLS(_xlpm.source,_xlfn.SEQUENCE(1,9,(_xlpm.n-1)*9+1)),
                _xlpm.berth,INDEX(_xlpm.block,1,1),
                _xlpm.vesselRange,_xlfn.DROP(_xlpm.block,2),
                _xlpm.vesselColumn,_xlfn.CHOOSECOLS(_xlpm.vesselRange,1),
                _xlpm.vesselCount,SUM(--(_xlpm.vesselColumn&lt;&gt;"")),
                IF(
                    _xlpm.berth="",
                    _xlpm.acc,
                    IF(
                        _xlpm.vesselCount=0,
                        _xlfn.VSTACK(
                            _xlpm.acc,
                            _xlfn.HSTACK(
                                _xlpm.berth,
                                "",
                                "",
                                "",
                                "",
                                "",
                                "",
                                "",
                                "",
                                ""
                            )
                        ),
                        _xlfn.LET(
                            _xlpm.vesselData,_xlfn._xlws.FILTER(
                                _xlpm.vesselRange,
                                _xlpm.vesselColumn&lt;&gt;""
                            ),
                            _xlpm.cleanData,IF(
                                _xlpm.vesselData="",
                                "",
                                _xlpm.vesselData
                            ),
                            _xlfn.VSTACK(
                                _xlpm.acc,
                                _xlfn.HSTACK(
                                    IF(
                                        _xlfn.SEQUENCE(ROWS(_xlpm.cleanData))=1,
                                        _xlpm.berth,
                                        ""
                                    ),
                                    _xlpm.cleanData
                                )
                            )
                        )
                    )
                )
            )
        )
    ),
    _xlfn.VSTACK(
        _xlpm.headers,
        _xlfn.DROP(_xlpm.data,1)
    )
)</f>
        <v>Berth</v>
      </c>
      <c r="B3" s="6" t="str">
        <v>Vessels Names</v>
      </c>
      <c r="C3" s="16" t="str">
        <v>ETA</v>
      </c>
      <c r="D3" s="38" t="str">
        <v>ETB</v>
      </c>
      <c r="E3" s="38" t="str">
        <v>ETC</v>
      </c>
      <c r="F3" s="38" t="str">
        <v>ETD</v>
      </c>
      <c r="G3" s="6" t="str">
        <v>Cargo</v>
      </c>
      <c r="H3" s="40" t="str">
        <v>Quantity</v>
      </c>
      <c r="I3" s="6" t="str">
        <v>Load/Disch</v>
      </c>
      <c r="J3" s="6" t="str">
        <v>Remarks</v>
      </c>
    </row>
    <row r="4" spans="1:10" x14ac:dyDescent="0.2">
      <c r="A4" s="39" t="str">
        <v>Pier 01</v>
      </c>
      <c r="B4" t="str">
        <v>Golden Amber</v>
      </c>
      <c r="C4" s="15">
        <v>45947.65625</v>
      </c>
      <c r="D4" s="37">
        <v>45955.747916666667</v>
      </c>
      <c r="E4" s="37">
        <v>45962.747916666667</v>
      </c>
      <c r="F4" s="37">
        <v>45962.747916666667</v>
      </c>
      <c r="G4" t="str">
        <v>Coal for Arcelormittal</v>
      </c>
      <c r="H4" s="12">
        <v>70000</v>
      </c>
      <c r="I4" t="str">
        <v>Discharge</v>
      </c>
      <c r="J4" t="str">
        <v xml:space="preserve">At Berth. </v>
      </c>
    </row>
    <row r="5" spans="1:10" x14ac:dyDescent="0.2">
      <c r="A5" s="39" t="str">
        <v/>
      </c>
      <c r="B5" t="str">
        <v>Xin An Yuan</v>
      </c>
      <c r="C5" s="15">
        <v>45952.729166666664</v>
      </c>
      <c r="D5" s="17">
        <v>45962.747916666667</v>
      </c>
      <c r="E5" s="17">
        <v>45967.747916666667</v>
      </c>
      <c r="F5" s="17">
        <v>45967.747916666667</v>
      </c>
      <c r="G5" t="str">
        <v>Coal for EDP</v>
      </c>
      <c r="H5" s="12">
        <v>55000</v>
      </c>
      <c r="I5" t="str">
        <v>Discharge</v>
      </c>
      <c r="J5" t="str">
        <v/>
      </c>
    </row>
    <row r="6" spans="1:10" x14ac:dyDescent="0.2">
      <c r="A6" s="39" t="str">
        <v/>
      </c>
      <c r="B6" t="str">
        <v>Navios Meridian</v>
      </c>
      <c r="C6" s="15">
        <v>45964.5</v>
      </c>
      <c r="D6" s="17">
        <v>45967.747916666667</v>
      </c>
      <c r="E6" s="17">
        <v>45972.747916666667</v>
      </c>
      <c r="F6" s="17">
        <v>45972.747916666667</v>
      </c>
      <c r="G6" t="str">
        <v>Coal for EDP</v>
      </c>
      <c r="H6" s="12">
        <v>55000</v>
      </c>
      <c r="I6" t="str">
        <v>Discharge</v>
      </c>
      <c r="J6" t="str">
        <v/>
      </c>
    </row>
    <row r="7" spans="1:10" x14ac:dyDescent="0.2">
      <c r="A7" s="39" t="str">
        <v/>
      </c>
      <c r="B7" t="str">
        <v>Aquagem</v>
      </c>
      <c r="C7" s="15">
        <v>45944.39166666667</v>
      </c>
      <c r="D7" s="17">
        <v>45972.747916666667</v>
      </c>
      <c r="E7" s="17">
        <v>45979.747916666667</v>
      </c>
      <c r="F7" s="17">
        <v>45979.747916666667</v>
      </c>
      <c r="G7" t="str">
        <v>Coal for Arcelormittal</v>
      </c>
      <c r="H7" s="12">
        <v>65000</v>
      </c>
      <c r="I7" t="str">
        <v>Discharge</v>
      </c>
      <c r="J7" t="str">
        <v/>
      </c>
    </row>
    <row r="8" spans="1:10" x14ac:dyDescent="0.2">
      <c r="A8" s="39" t="str">
        <v/>
      </c>
      <c r="B8" t="str">
        <v>Field Freia</v>
      </c>
      <c r="C8" s="15">
        <v>45983.5</v>
      </c>
      <c r="D8" s="17">
        <v>45983.5</v>
      </c>
      <c r="E8" s="17">
        <v>45988.5</v>
      </c>
      <c r="F8" s="17">
        <v>45988.5</v>
      </c>
      <c r="G8" t="str">
        <v>Coal for Arcelormittal</v>
      </c>
      <c r="H8" s="12">
        <v>70000</v>
      </c>
      <c r="I8" t="str">
        <v>Discharge</v>
      </c>
      <c r="J8" t="str">
        <v/>
      </c>
    </row>
    <row r="9" spans="1:10" x14ac:dyDescent="0.2">
      <c r="A9" s="39" t="str">
        <v>Pier 02</v>
      </c>
      <c r="B9" t="str">
        <v>Forte São Marcelo</v>
      </c>
      <c r="C9" s="15">
        <v>45951.663194444445</v>
      </c>
      <c r="D9" s="17">
        <v>45953.75277777778</v>
      </c>
      <c r="E9" s="17">
        <v>45961.75277777778</v>
      </c>
      <c r="F9" s="17">
        <v>45961.75277777778</v>
      </c>
      <c r="G9" t="str">
        <v>Iron Ore</v>
      </c>
      <c r="H9" s="12">
        <v>115000</v>
      </c>
      <c r="I9" t="str">
        <v>Discharge</v>
      </c>
      <c r="J9" t="str">
        <v xml:space="preserve">At Berth. </v>
      </c>
    </row>
    <row r="10" spans="1:10" x14ac:dyDescent="0.2">
      <c r="A10" s="39" t="str">
        <v/>
      </c>
      <c r="B10" t="str">
        <v>Forte dos Reis Magos</v>
      </c>
      <c r="C10" s="15">
        <v>45966.5</v>
      </c>
      <c r="D10" s="17">
        <v>45966.5</v>
      </c>
      <c r="E10" s="17">
        <v>45974.5</v>
      </c>
      <c r="F10" s="17">
        <v>45974.5</v>
      </c>
      <c r="G10" t="str">
        <v>Iron Ore</v>
      </c>
      <c r="H10" s="12">
        <v>115000</v>
      </c>
      <c r="I10" t="str">
        <v>Discharge</v>
      </c>
      <c r="J10" t="str">
        <v/>
      </c>
    </row>
    <row r="11" spans="1:10" x14ac:dyDescent="0.2">
      <c r="A11" s="39" t="str">
        <v/>
      </c>
      <c r="B11" t="str">
        <v>TBN</v>
      </c>
      <c r="C11" s="15">
        <v>45972.5</v>
      </c>
      <c r="D11" s="17">
        <v>45974.5</v>
      </c>
      <c r="E11" s="17">
        <v>45982.5</v>
      </c>
      <c r="F11" s="17">
        <v>45982.5</v>
      </c>
      <c r="G11" t="str">
        <v>Iron Ore</v>
      </c>
      <c r="H11" s="12">
        <v>115000</v>
      </c>
      <c r="I11" t="str">
        <v>Discharge</v>
      </c>
      <c r="J11" t="str">
        <v/>
      </c>
    </row>
    <row r="12" spans="1:10" x14ac:dyDescent="0.2">
      <c r="A12" s="39" t="str">
        <v/>
      </c>
      <c r="B12" t="str">
        <v>TBN</v>
      </c>
      <c r="C12" s="15">
        <v>45979.5</v>
      </c>
      <c r="D12" s="17">
        <v>45982.5</v>
      </c>
      <c r="E12" s="17">
        <v>45990.5</v>
      </c>
      <c r="F12" s="17">
        <v>45990.5</v>
      </c>
      <c r="G12" t="str">
        <v>Iron Ore</v>
      </c>
      <c r="H12" s="12">
        <v>115000</v>
      </c>
      <c r="I12" t="str">
        <v>Discharge</v>
      </c>
      <c r="J12" t="str">
        <v/>
      </c>
    </row>
    <row r="13" spans="1:10" x14ac:dyDescent="0.2">
      <c r="A13" s="39" t="str">
        <v>TMUT 5</v>
      </c>
      <c r="B13" t="str">
        <v>Star Lofoten</v>
      </c>
      <c r="C13" s="15">
        <v>45952.15</v>
      </c>
      <c r="D13" s="17">
        <v>45957.5</v>
      </c>
      <c r="E13" s="17" t="str">
        <v/>
      </c>
      <c r="F13" s="17" t="str">
        <v/>
      </c>
      <c r="G13" t="str">
        <v>Steel Coils + Wheel Loader</v>
      </c>
      <c r="H13" s="12">
        <v>1674</v>
      </c>
      <c r="I13" t="str">
        <v>Discharge</v>
      </c>
      <c r="J13" t="str">
        <v/>
      </c>
    </row>
    <row r="14" spans="1:10" x14ac:dyDescent="0.2">
      <c r="A14" s="39" t="str">
        <v/>
      </c>
      <c r="B14" t="str">
        <v>Sepetiba Bay</v>
      </c>
      <c r="C14" s="15">
        <v>45953.3</v>
      </c>
      <c r="D14" s="17" t="str">
        <v/>
      </c>
      <c r="E14" s="17" t="str">
        <v/>
      </c>
      <c r="F14" s="17" t="str">
        <v/>
      </c>
      <c r="G14" t="str">
        <v>Steel Slabs</v>
      </c>
      <c r="H14" s="12">
        <v>30240</v>
      </c>
      <c r="I14" t="str">
        <v>Load</v>
      </c>
      <c r="J14" t="str">
        <v>88% of cargo readiness</v>
      </c>
    </row>
    <row r="15" spans="1:10" x14ac:dyDescent="0.2">
      <c r="A15" s="39" t="str">
        <v/>
      </c>
      <c r="B15" t="str">
        <v>UAL Fortitude</v>
      </c>
      <c r="C15" s="15">
        <v>45955.284722222219</v>
      </c>
      <c r="D15" s="17" t="str">
        <v/>
      </c>
      <c r="E15" s="17" t="str">
        <v/>
      </c>
      <c r="F15" s="17" t="str">
        <v/>
      </c>
      <c r="G15" t="str">
        <v>Break Bulk</v>
      </c>
      <c r="H15" s="12" t="str">
        <v>22 Pieces // 232.844 tons</v>
      </c>
      <c r="I15" t="str">
        <v>Discharge</v>
      </c>
      <c r="J15" t="str">
        <v/>
      </c>
    </row>
    <row r="16" spans="1:10" x14ac:dyDescent="0.2">
      <c r="A16" s="39" t="str">
        <v/>
      </c>
      <c r="B16" t="str">
        <v>Linden Arrow</v>
      </c>
      <c r="C16" s="15">
        <v>45956.458333333336</v>
      </c>
      <c r="D16" s="17" t="str">
        <v/>
      </c>
      <c r="E16" s="17" t="str">
        <v/>
      </c>
      <c r="F16" s="17" t="str">
        <v/>
      </c>
      <c r="G16" t="str">
        <v>Granite in Blocks</v>
      </c>
      <c r="H16" s="12">
        <v>9000</v>
      </c>
      <c r="I16" t="str">
        <v>Load</v>
      </c>
      <c r="J16" t="str">
        <v/>
      </c>
    </row>
    <row r="17" spans="1:10" x14ac:dyDescent="0.2">
      <c r="A17" s="39" t="str">
        <v/>
      </c>
      <c r="B17" t="str">
        <v>UAL Brazil</v>
      </c>
      <c r="C17" s="15">
        <v>45959.5</v>
      </c>
      <c r="D17" s="17" t="str">
        <v/>
      </c>
      <c r="E17" s="17" t="str">
        <v/>
      </c>
      <c r="F17" s="17" t="str">
        <v/>
      </c>
      <c r="G17" t="str">
        <v>Break Bulk</v>
      </c>
      <c r="H17" s="12" t="str">
        <v>123 Pieces // 639.70 tons</v>
      </c>
      <c r="I17" t="str">
        <v>Discharge</v>
      </c>
      <c r="J17" t="str">
        <v/>
      </c>
    </row>
    <row r="18" spans="1:10" x14ac:dyDescent="0.2">
      <c r="A18" s="39" t="str">
        <v/>
      </c>
      <c r="B18" t="str">
        <v>Covadonga</v>
      </c>
      <c r="C18" s="15">
        <v>45964.5</v>
      </c>
      <c r="D18" s="17">
        <v>45964.5</v>
      </c>
      <c r="E18" s="17" t="str">
        <v/>
      </c>
      <c r="F18" s="17" t="str">
        <v/>
      </c>
      <c r="G18" t="str">
        <v>Coal Tar</v>
      </c>
      <c r="H18" s="12">
        <v>6300</v>
      </c>
      <c r="I18" t="str">
        <v>Load</v>
      </c>
      <c r="J18" t="str">
        <v/>
      </c>
    </row>
    <row r="19" spans="1:10" x14ac:dyDescent="0.2">
      <c r="A19" s="39" t="str">
        <v/>
      </c>
      <c r="B19" t="str">
        <v>RMS Fraternity</v>
      </c>
      <c r="C19" s="15">
        <v>45969.5</v>
      </c>
      <c r="D19" s="17">
        <v>45969.5</v>
      </c>
      <c r="E19" s="17">
        <v>45969.5</v>
      </c>
      <c r="F19" s="17">
        <v>45969.5</v>
      </c>
      <c r="G19" t="str">
        <v/>
      </c>
      <c r="H19" s="12" t="str">
        <v/>
      </c>
      <c r="I19" t="str">
        <v/>
      </c>
      <c r="J19" t="str">
        <v/>
      </c>
    </row>
    <row r="20" spans="1:10" x14ac:dyDescent="0.2">
      <c r="A20" s="39" t="str">
        <v/>
      </c>
      <c r="B20" t="str">
        <v>BBC Moonstone</v>
      </c>
      <c r="C20" s="15">
        <v>45984.5</v>
      </c>
      <c r="D20" s="17">
        <v>45984.5</v>
      </c>
      <c r="E20" s="17">
        <v>45987.5</v>
      </c>
      <c r="F20" s="17">
        <v>45987.5</v>
      </c>
      <c r="G20" t="str">
        <v>Windmill Blades</v>
      </c>
      <c r="H20" s="12" t="str">
        <v xml:space="preserve">43 x V150 </v>
      </c>
      <c r="I20" t="str">
        <v>Load</v>
      </c>
      <c r="J20" t="str">
        <v/>
      </c>
    </row>
    <row r="21" spans="1:10" x14ac:dyDescent="0.2">
      <c r="A21" s="39" t="str">
        <v>TMUT 6</v>
      </c>
      <c r="B21" t="str">
        <v>Eastern Laelia</v>
      </c>
      <c r="C21" s="15">
        <v>45943.3125</v>
      </c>
      <c r="D21" s="17">
        <v>45952.586805555555</v>
      </c>
      <c r="E21" s="17">
        <v>45961.586805555555</v>
      </c>
      <c r="F21" s="17">
        <v>45961.586805555555</v>
      </c>
      <c r="G21" t="str">
        <v>Steel Coils</v>
      </c>
      <c r="H21" s="12">
        <v>16197</v>
      </c>
      <c r="I21" t="str">
        <v>Discharge</v>
      </c>
      <c r="J21" t="str">
        <v xml:space="preserve">At Berth. </v>
      </c>
    </row>
    <row r="22" spans="1:10" x14ac:dyDescent="0.2">
      <c r="A22" s="39" t="str">
        <v/>
      </c>
      <c r="B22" t="str">
        <v>Equinox Eagle</v>
      </c>
      <c r="C22" s="15">
        <v>45961.5</v>
      </c>
      <c r="D22" s="17">
        <v>45961.5</v>
      </c>
      <c r="E22" s="17">
        <v>45974.5</v>
      </c>
      <c r="F22" s="17">
        <v>45974.5</v>
      </c>
      <c r="G22" t="str">
        <v>Steel Coils</v>
      </c>
      <c r="H22" s="12">
        <v>38932</v>
      </c>
      <c r="I22" t="str">
        <v>Discharge</v>
      </c>
      <c r="J22" t="str">
        <v/>
      </c>
    </row>
    <row r="23" spans="1:10" x14ac:dyDescent="0.2">
      <c r="A23" s="39" t="str">
        <v/>
      </c>
      <c r="B23" t="str">
        <v>Century Beijin</v>
      </c>
      <c r="C23" s="15">
        <v>45938.5</v>
      </c>
      <c r="D23" s="17">
        <v>45974.5</v>
      </c>
      <c r="E23" s="17">
        <v>45984.5</v>
      </c>
      <c r="F23" s="17">
        <v>45984.5</v>
      </c>
      <c r="G23" t="str">
        <v>Steel Coils</v>
      </c>
      <c r="H23" s="12">
        <v>28764.65</v>
      </c>
      <c r="I23" t="str">
        <v>Discharge</v>
      </c>
      <c r="J23" t="str">
        <v/>
      </c>
    </row>
    <row r="24" spans="1:10" x14ac:dyDescent="0.2">
      <c r="A24" s="39" t="str">
        <v>TMUT 7</v>
      </c>
      <c r="B24" t="str">
        <v>Federal Bering</v>
      </c>
      <c r="C24" s="15">
        <v>45946.645833333336</v>
      </c>
      <c r="D24" s="17">
        <v>45955.311111111114</v>
      </c>
      <c r="E24" s="17">
        <v>45957.311111111114</v>
      </c>
      <c r="F24" s="17">
        <v>45957.311111111114</v>
      </c>
      <c r="G24" t="str">
        <v>Steel Slabs</v>
      </c>
      <c r="H24" s="12">
        <v>19845</v>
      </c>
      <c r="I24" t="str">
        <v>Load</v>
      </c>
      <c r="J24" t="str">
        <v xml:space="preserve">At Berth. </v>
      </c>
    </row>
    <row r="25" spans="1:10" x14ac:dyDescent="0.2">
      <c r="A25" s="39" t="str">
        <v/>
      </c>
      <c r="B25" t="str">
        <v>Aeolus</v>
      </c>
      <c r="C25" s="15">
        <v>45952.708333333336</v>
      </c>
      <c r="D25" s="17">
        <v>45957.311111111114</v>
      </c>
      <c r="E25" s="17">
        <v>45963.311111111114</v>
      </c>
      <c r="F25" s="17">
        <v>45963.311111111114</v>
      </c>
      <c r="G25" t="str">
        <v>Steel Slabs</v>
      </c>
      <c r="H25" s="12">
        <v>58590</v>
      </c>
      <c r="I25" t="str">
        <v>Load</v>
      </c>
      <c r="J25" t="str">
        <v>36% of cargo readiness</v>
      </c>
    </row>
    <row r="26" spans="1:10" x14ac:dyDescent="0.2">
      <c r="A26" s="39" t="str">
        <v/>
      </c>
      <c r="B26" t="str">
        <v>Tai Splendor</v>
      </c>
      <c r="C26" s="15">
        <v>45964.5</v>
      </c>
      <c r="D26" s="17">
        <v>45964.5</v>
      </c>
      <c r="E26" s="17">
        <v>45968.5</v>
      </c>
      <c r="F26" s="17">
        <v>45968.5</v>
      </c>
      <c r="G26" t="str">
        <v>Steel Slabs</v>
      </c>
      <c r="H26" s="12">
        <v>40320</v>
      </c>
      <c r="I26" t="str">
        <v>Load</v>
      </c>
      <c r="J26" t="str">
        <v>29% of cargo readiness</v>
      </c>
    </row>
    <row r="27" spans="1:10" x14ac:dyDescent="0.2">
      <c r="A27" s="39" t="str">
        <v/>
      </c>
      <c r="B27" t="str">
        <v>Saga Fuji</v>
      </c>
      <c r="C27" s="15">
        <v>45968.5</v>
      </c>
      <c r="D27" s="17">
        <v>45968.5</v>
      </c>
      <c r="E27" s="17">
        <v>45972.5</v>
      </c>
      <c r="F27" s="17">
        <v>45972.5</v>
      </c>
      <c r="G27" t="str">
        <v>Steel Slabs</v>
      </c>
      <c r="H27" s="12">
        <v>40005</v>
      </c>
      <c r="I27" t="str">
        <v>Load</v>
      </c>
      <c r="J27" t="str">
        <v>0% of cargo readiness</v>
      </c>
    </row>
    <row r="28" spans="1:10" x14ac:dyDescent="0.2">
      <c r="A28" s="39" t="str">
        <v>TMUT 8</v>
      </c>
      <c r="B28" t="str">
        <v/>
      </c>
      <c r="C28" s="15" t="str">
        <v/>
      </c>
      <c r="D28" s="17" t="str">
        <v/>
      </c>
      <c r="E28" s="17" t="str">
        <v/>
      </c>
      <c r="F28" s="17" t="str">
        <v/>
      </c>
      <c r="G28" t="str">
        <v/>
      </c>
      <c r="H28" s="12" t="str">
        <v/>
      </c>
      <c r="I28" t="str">
        <v/>
      </c>
      <c r="J28" t="str">
        <v/>
      </c>
    </row>
    <row r="29" spans="1:10" x14ac:dyDescent="0.2">
      <c r="A29" s="39" t="str">
        <v>TMUT 9</v>
      </c>
      <c r="B29" t="str">
        <v>Czech</v>
      </c>
      <c r="C29" s="15">
        <v>45954.583333333336</v>
      </c>
      <c r="D29" s="17">
        <v>45956.895833333336</v>
      </c>
      <c r="E29" s="17" t="str">
        <v/>
      </c>
      <c r="F29" s="17" t="str">
        <v/>
      </c>
      <c r="G29" t="str">
        <v>Container</v>
      </c>
      <c r="H29" s="12">
        <v>205</v>
      </c>
      <c r="I29" t="str">
        <v>Load/Disch</v>
      </c>
      <c r="J29" t="str">
        <v>At Berth.</v>
      </c>
    </row>
    <row r="30" spans="1:10" x14ac:dyDescent="0.2">
      <c r="A30" s="39" t="str">
        <v/>
      </c>
      <c r="B30" t="str">
        <v>Pedro Alvares Cabral</v>
      </c>
      <c r="C30" s="15">
        <v>45955.583333333336</v>
      </c>
      <c r="D30" s="17">
        <v>45955.583333333336</v>
      </c>
      <c r="E30" s="17">
        <v>45956.583333333336</v>
      </c>
      <c r="F30" s="17">
        <v>45956.583333333336</v>
      </c>
      <c r="G30" t="str">
        <v>Container</v>
      </c>
      <c r="H30" s="12">
        <v>958</v>
      </c>
      <c r="I30" t="str">
        <v>Load/Disch</v>
      </c>
      <c r="J30" t="str">
        <v/>
      </c>
    </row>
    <row r="31" spans="1:10" x14ac:dyDescent="0.2">
      <c r="A31" s="39" t="str">
        <v/>
      </c>
      <c r="B31" t="str">
        <v>MSC Yukta X</v>
      </c>
      <c r="C31" s="15">
        <v>45956.291666666664</v>
      </c>
      <c r="D31" s="17">
        <v>45956.583333333336</v>
      </c>
      <c r="E31" s="17">
        <v>45957.583333333336</v>
      </c>
      <c r="F31" s="17">
        <v>45957.583333333336</v>
      </c>
      <c r="G31" t="str">
        <v>Container</v>
      </c>
      <c r="H31" s="12">
        <v>832</v>
      </c>
      <c r="I31" t="str">
        <v>Load/Disch</v>
      </c>
      <c r="J31" t="str">
        <v/>
      </c>
    </row>
    <row r="32" spans="1:10" x14ac:dyDescent="0.2">
      <c r="A32" s="39" t="str">
        <v/>
      </c>
      <c r="B32" t="str">
        <v>MSC Domitille</v>
      </c>
      <c r="C32" s="15">
        <v>45959.083333333336</v>
      </c>
      <c r="D32" s="17">
        <v>45959.083333333336</v>
      </c>
      <c r="E32" s="17" t="str">
        <v/>
      </c>
      <c r="F32" s="17" t="str">
        <v/>
      </c>
      <c r="G32" t="str">
        <v>Container</v>
      </c>
      <c r="H32" s="12">
        <v>200</v>
      </c>
      <c r="I32" t="str">
        <v>Load/Disch</v>
      </c>
      <c r="J32" t="str">
        <v/>
      </c>
    </row>
    <row r="33" spans="1:10" x14ac:dyDescent="0.2">
      <c r="A33" s="39" t="str">
        <v/>
      </c>
      <c r="B33" t="str">
        <v>Log-in Jacarandá</v>
      </c>
      <c r="C33" s="15">
        <v>45959.791666666664</v>
      </c>
      <c r="D33" s="17" t="str">
        <v/>
      </c>
      <c r="E33" s="17" t="str">
        <v/>
      </c>
      <c r="F33" s="17" t="str">
        <v/>
      </c>
      <c r="G33" t="str">
        <v>Container</v>
      </c>
      <c r="H33" s="12">
        <v>1000</v>
      </c>
      <c r="I33" t="str">
        <v>Load/Disch</v>
      </c>
      <c r="J33" t="str">
        <v/>
      </c>
    </row>
    <row r="34" spans="1:10" x14ac:dyDescent="0.2">
      <c r="A34" s="39" t="str">
        <v/>
      </c>
      <c r="B34" t="str">
        <v>Bartolomeu Dias</v>
      </c>
      <c r="C34" s="15">
        <v>45960.458333333336</v>
      </c>
      <c r="D34" s="17" t="str">
        <v/>
      </c>
      <c r="E34" s="17" t="str">
        <v/>
      </c>
      <c r="F34" s="17" t="str">
        <v/>
      </c>
      <c r="G34" t="str">
        <v>Container</v>
      </c>
      <c r="H34" s="12">
        <v>762</v>
      </c>
      <c r="I34" t="str">
        <v>Load/Disch</v>
      </c>
      <c r="J34" t="str">
        <v/>
      </c>
    </row>
    <row r="35" spans="1:10" x14ac:dyDescent="0.2">
      <c r="A35" s="39" t="str">
        <v>TMUT 10</v>
      </c>
      <c r="B35" t="str">
        <v>Aliança Leblon</v>
      </c>
      <c r="C35" s="15">
        <v>45952.041666666664</v>
      </c>
      <c r="D35" s="17">
        <v>45952.041666666664</v>
      </c>
      <c r="E35" s="17" t="str">
        <v/>
      </c>
      <c r="F35" s="17" t="str">
        <v/>
      </c>
      <c r="G35" t="str">
        <v>Container</v>
      </c>
      <c r="H35" s="12">
        <v>441</v>
      </c>
      <c r="I35" t="str">
        <v>Load/Disch</v>
      </c>
      <c r="J35" t="str">
        <v>At Berth.</v>
      </c>
    </row>
    <row r="36" spans="1:10" x14ac:dyDescent="0.2">
      <c r="A36" s="39" t="str">
        <v/>
      </c>
      <c r="B36" t="str">
        <v>Log-in Evolution</v>
      </c>
      <c r="C36" s="15">
        <v>45952.791666666664</v>
      </c>
      <c r="D36" s="17">
        <v>45952.791666666664</v>
      </c>
      <c r="E36" s="17">
        <v>45953.791666666664</v>
      </c>
      <c r="F36" s="17">
        <v>45953.791666666664</v>
      </c>
      <c r="G36" t="str">
        <v>Container</v>
      </c>
      <c r="H36" s="12">
        <v>1015</v>
      </c>
      <c r="I36" t="str">
        <v>Load/Disch</v>
      </c>
      <c r="J36" t="str">
        <v/>
      </c>
    </row>
    <row r="37" spans="1:10" x14ac:dyDescent="0.2">
      <c r="A37" s="39" t="str">
        <v/>
      </c>
      <c r="B37" t="str">
        <v>NC Breda</v>
      </c>
      <c r="C37" s="15">
        <v>45954.208333333336</v>
      </c>
      <c r="D37" s="17">
        <v>45954.208333333336</v>
      </c>
      <c r="E37" s="17" t="str">
        <v/>
      </c>
      <c r="F37" s="17" t="str">
        <v/>
      </c>
      <c r="G37" t="str">
        <v>Container</v>
      </c>
      <c r="H37" s="12">
        <v>128</v>
      </c>
      <c r="I37" t="str">
        <v>Load/Disch</v>
      </c>
      <c r="J37" t="str">
        <v/>
      </c>
    </row>
    <row r="38" spans="1:10" x14ac:dyDescent="0.2">
      <c r="A38" s="39" t="str">
        <v/>
      </c>
      <c r="B38" t="str">
        <v>Mercosul Guaruja</v>
      </c>
      <c r="C38" s="15">
        <v>45955.25</v>
      </c>
      <c r="D38" s="17">
        <v>45955.25</v>
      </c>
      <c r="E38" s="17" t="str">
        <v/>
      </c>
      <c r="F38" s="17" t="str">
        <v/>
      </c>
      <c r="G38" t="str">
        <v>Container</v>
      </c>
      <c r="H38" s="12">
        <v>360</v>
      </c>
      <c r="I38" t="str">
        <v>Load/Disch</v>
      </c>
      <c r="J38" t="str">
        <v/>
      </c>
    </row>
    <row r="39" spans="1:10" x14ac:dyDescent="0.2">
      <c r="A39" s="39" t="str">
        <v/>
      </c>
      <c r="B39" t="str">
        <v>Maersk Frankfurt</v>
      </c>
      <c r="C39" s="15">
        <v>45956.208333333336</v>
      </c>
      <c r="D39" s="17">
        <v>45956.208333333336</v>
      </c>
      <c r="E39" s="17" t="str">
        <v/>
      </c>
      <c r="F39" s="17" t="str">
        <v/>
      </c>
      <c r="G39" t="str">
        <v>Container</v>
      </c>
      <c r="H39" s="12">
        <v>289</v>
      </c>
      <c r="I39" t="str">
        <v>Load/Disch</v>
      </c>
      <c r="J39" t="str">
        <v/>
      </c>
    </row>
    <row r="40" spans="1:10" x14ac:dyDescent="0.2">
      <c r="A40" s="39" t="str">
        <v/>
      </c>
      <c r="B40" t="str">
        <v>Fernão de Magalhães</v>
      </c>
      <c r="C40" s="15">
        <v>45957.25</v>
      </c>
      <c r="D40" s="17">
        <v>45957.25</v>
      </c>
      <c r="E40" s="17" t="str">
        <v/>
      </c>
      <c r="F40" s="17" t="str">
        <v/>
      </c>
      <c r="G40" t="str">
        <v>Container</v>
      </c>
      <c r="H40" s="12">
        <v>246</v>
      </c>
      <c r="I40" t="str">
        <v>Load/Disch</v>
      </c>
      <c r="J40" t="str">
        <v/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76C9-34E8-D244-9D2B-45A780B36198}">
  <dimension ref="A1:BR20"/>
  <sheetViews>
    <sheetView workbookViewId="0">
      <selection activeCell="J25" sqref="J25"/>
    </sheetView>
  </sheetViews>
  <sheetFormatPr baseColWidth="10" defaultColWidth="11" defaultRowHeight="16" x14ac:dyDescent="0.2"/>
  <cols>
    <col min="1" max="1" width="17.6640625" customWidth="1"/>
    <col min="2" max="2" width="14.33203125" style="1" customWidth="1"/>
    <col min="3" max="5" width="10.83203125" style="17"/>
    <col min="6" max="6" width="23.83203125" customWidth="1"/>
    <col min="7" max="7" width="22.1640625" style="9" customWidth="1"/>
    <col min="9" max="9" width="22.1640625" style="2" customWidth="1"/>
    <col min="10" max="10" width="17.6640625" customWidth="1"/>
    <col min="11" max="11" width="14.33203125" style="15" customWidth="1"/>
    <col min="12" max="14" width="10.83203125" style="17"/>
    <col min="15" max="15" width="23.83203125" customWidth="1"/>
    <col min="16" max="16" width="22.1640625" style="9" customWidth="1"/>
    <col min="18" max="18" width="22.1640625" style="2" customWidth="1"/>
    <col min="19" max="19" width="17.33203125" customWidth="1"/>
    <col min="20" max="20" width="14.33203125" style="15" customWidth="1"/>
    <col min="21" max="23" width="10.83203125" style="17"/>
    <col min="24" max="24" width="23.83203125" customWidth="1"/>
    <col min="25" max="25" width="22.1640625" style="12" customWidth="1"/>
    <col min="27" max="27" width="22.1640625" style="2" customWidth="1"/>
    <col min="28" max="28" width="17.6640625" customWidth="1"/>
    <col min="29" max="29" width="14.33203125" style="15" customWidth="1"/>
    <col min="30" max="32" width="10.83203125" style="17"/>
    <col min="33" max="33" width="23.83203125" customWidth="1"/>
    <col min="34" max="34" width="22.1640625" style="9" customWidth="1"/>
    <col min="36" max="36" width="22.1640625" style="2" customWidth="1"/>
    <col min="37" max="37" width="15.5" customWidth="1"/>
    <col min="38" max="38" width="14.33203125" style="15" customWidth="1"/>
    <col min="39" max="41" width="10.83203125" style="17"/>
    <col min="42" max="42" width="23.83203125" customWidth="1"/>
    <col min="43" max="43" width="22.1640625" style="9" customWidth="1"/>
    <col min="45" max="45" width="22.1640625" style="2" customWidth="1"/>
    <col min="46" max="46" width="17" customWidth="1"/>
    <col min="47" max="47" width="14.33203125" style="15" customWidth="1"/>
    <col min="48" max="50" width="11" style="17"/>
    <col min="51" max="51" width="23.83203125" customWidth="1"/>
    <col min="52" max="52" width="22.1640625" customWidth="1"/>
    <col min="54" max="54" width="22.1640625" style="2" customWidth="1"/>
    <col min="55" max="55" width="17.6640625" customWidth="1"/>
    <col min="56" max="56" width="14.33203125" style="15" customWidth="1"/>
    <col min="57" max="59" width="10.83203125" style="17"/>
    <col min="60" max="60" width="23.83203125" customWidth="1"/>
    <col min="61" max="61" width="22.1640625" style="9" customWidth="1"/>
    <col min="63" max="63" width="22.1640625" style="2" customWidth="1"/>
    <col min="64" max="64" width="17.6640625" customWidth="1"/>
    <col min="65" max="65" width="14.33203125" style="15" customWidth="1"/>
    <col min="66" max="68" width="10.83203125" style="17"/>
    <col min="69" max="69" width="23.83203125" customWidth="1"/>
    <col min="70" max="70" width="22.1640625" style="9" customWidth="1"/>
    <col min="72" max="72" width="22.1640625" customWidth="1"/>
  </cols>
  <sheetData>
    <row r="1" spans="1:70" x14ac:dyDescent="0.2">
      <c r="A1" s="3" t="s">
        <v>107</v>
      </c>
      <c r="AZ1" s="9"/>
    </row>
    <row r="2" spans="1:70" x14ac:dyDescent="0.2">
      <c r="A2" s="35" t="s">
        <v>7</v>
      </c>
      <c r="B2" s="41" t="s">
        <v>42</v>
      </c>
      <c r="AZ2" s="9"/>
    </row>
    <row r="3" spans="1:70" s="4" customFormat="1" x14ac:dyDescent="0.2">
      <c r="A3" s="4">
        <v>101</v>
      </c>
      <c r="C3" s="18"/>
      <c r="D3" s="18"/>
      <c r="E3" s="18"/>
      <c r="G3" s="10"/>
      <c r="I3" s="5"/>
      <c r="J3" s="4">
        <v>102</v>
      </c>
      <c r="K3" s="15"/>
      <c r="L3" s="18"/>
      <c r="M3" s="18"/>
      <c r="N3" s="18"/>
      <c r="P3" s="10"/>
      <c r="R3" s="5"/>
      <c r="S3" s="4">
        <v>201</v>
      </c>
      <c r="T3" s="15"/>
      <c r="U3" s="18"/>
      <c r="V3" s="18"/>
      <c r="W3" s="18"/>
      <c r="Y3" s="13"/>
      <c r="AA3" s="5"/>
      <c r="AB3" s="4">
        <v>301</v>
      </c>
      <c r="AC3" s="15"/>
      <c r="AD3" s="18"/>
      <c r="AE3" s="18"/>
      <c r="AF3" s="18"/>
      <c r="AH3" s="10"/>
      <c r="AJ3" s="5"/>
      <c r="AK3" s="4">
        <v>401</v>
      </c>
      <c r="AL3" s="15"/>
      <c r="AM3" s="18"/>
      <c r="AN3" s="18"/>
      <c r="AO3" s="18"/>
      <c r="AQ3" s="10"/>
      <c r="AS3" s="5"/>
      <c r="AT3" s="4">
        <v>402</v>
      </c>
      <c r="AU3" s="15"/>
      <c r="AV3" s="18"/>
      <c r="AW3" s="18"/>
      <c r="AX3" s="18"/>
      <c r="AZ3" s="10"/>
      <c r="BB3" s="5"/>
      <c r="BC3" s="4">
        <v>501</v>
      </c>
      <c r="BD3" s="15"/>
      <c r="BE3" s="18"/>
      <c r="BF3" s="18"/>
      <c r="BG3" s="18"/>
      <c r="BI3" s="10"/>
      <c r="BK3" s="5"/>
      <c r="BM3" s="15"/>
      <c r="BN3" s="18"/>
      <c r="BO3" s="18"/>
      <c r="BP3" s="18"/>
      <c r="BR3" s="10"/>
    </row>
    <row r="4" spans="1:70" s="3" customFormat="1" x14ac:dyDescent="0.2">
      <c r="A4" s="6" t="s">
        <v>13</v>
      </c>
      <c r="B4" s="7" t="s">
        <v>14</v>
      </c>
      <c r="C4" s="19" t="s">
        <v>15</v>
      </c>
      <c r="D4" s="19" t="s">
        <v>16</v>
      </c>
      <c r="E4" s="19" t="s">
        <v>17</v>
      </c>
      <c r="F4" s="6" t="s">
        <v>18</v>
      </c>
      <c r="G4" s="11" t="s">
        <v>19</v>
      </c>
      <c r="H4" s="6" t="s">
        <v>20</v>
      </c>
      <c r="I4" s="8" t="s">
        <v>21</v>
      </c>
      <c r="J4" s="6" t="s">
        <v>13</v>
      </c>
      <c r="K4" s="16" t="s">
        <v>14</v>
      </c>
      <c r="L4" s="19" t="s">
        <v>15</v>
      </c>
      <c r="M4" s="19" t="s">
        <v>16</v>
      </c>
      <c r="N4" s="19" t="s">
        <v>17</v>
      </c>
      <c r="O4" s="6" t="s">
        <v>18</v>
      </c>
      <c r="P4" s="11" t="s">
        <v>19</v>
      </c>
      <c r="Q4" s="6" t="s">
        <v>20</v>
      </c>
      <c r="R4" s="8" t="s">
        <v>21</v>
      </c>
      <c r="S4" s="6" t="s">
        <v>13</v>
      </c>
      <c r="T4" s="16" t="s">
        <v>14</v>
      </c>
      <c r="U4" s="19" t="s">
        <v>15</v>
      </c>
      <c r="V4" s="19" t="s">
        <v>16</v>
      </c>
      <c r="W4" s="19" t="s">
        <v>17</v>
      </c>
      <c r="X4" s="6" t="s">
        <v>18</v>
      </c>
      <c r="Y4" s="14" t="s">
        <v>19</v>
      </c>
      <c r="Z4" s="6" t="s">
        <v>20</v>
      </c>
      <c r="AA4" s="8" t="s">
        <v>21</v>
      </c>
      <c r="AB4" s="6" t="s">
        <v>13</v>
      </c>
      <c r="AC4" s="16" t="s">
        <v>14</v>
      </c>
      <c r="AD4" s="19" t="s">
        <v>15</v>
      </c>
      <c r="AE4" s="19" t="s">
        <v>16</v>
      </c>
      <c r="AF4" s="19" t="s">
        <v>17</v>
      </c>
      <c r="AG4" s="6" t="s">
        <v>18</v>
      </c>
      <c r="AH4" s="11" t="s">
        <v>19</v>
      </c>
      <c r="AI4" s="6" t="s">
        <v>20</v>
      </c>
      <c r="AJ4" s="8" t="s">
        <v>21</v>
      </c>
      <c r="AK4" s="6" t="s">
        <v>13</v>
      </c>
      <c r="AL4" s="16" t="s">
        <v>14</v>
      </c>
      <c r="AM4" s="19" t="s">
        <v>15</v>
      </c>
      <c r="AN4" s="19" t="s">
        <v>16</v>
      </c>
      <c r="AO4" s="19" t="s">
        <v>17</v>
      </c>
      <c r="AP4" s="6" t="s">
        <v>18</v>
      </c>
      <c r="AQ4" s="11" t="s">
        <v>19</v>
      </c>
      <c r="AR4" s="6" t="s">
        <v>20</v>
      </c>
      <c r="AS4" s="8" t="s">
        <v>21</v>
      </c>
      <c r="AT4" s="6" t="s">
        <v>13</v>
      </c>
      <c r="AU4" s="16" t="s">
        <v>14</v>
      </c>
      <c r="AV4" s="19" t="s">
        <v>15</v>
      </c>
      <c r="AW4" s="19" t="s">
        <v>16</v>
      </c>
      <c r="AX4" s="19" t="s">
        <v>17</v>
      </c>
      <c r="AY4" s="6" t="s">
        <v>18</v>
      </c>
      <c r="AZ4" s="11" t="s">
        <v>19</v>
      </c>
      <c r="BA4" s="6" t="s">
        <v>20</v>
      </c>
      <c r="BB4" s="8" t="s">
        <v>21</v>
      </c>
      <c r="BC4" s="6" t="s">
        <v>13</v>
      </c>
      <c r="BD4" s="16" t="s">
        <v>14</v>
      </c>
      <c r="BE4" s="19" t="s">
        <v>15</v>
      </c>
      <c r="BF4" s="19" t="s">
        <v>16</v>
      </c>
      <c r="BG4" s="19" t="s">
        <v>17</v>
      </c>
      <c r="BH4" s="6" t="s">
        <v>18</v>
      </c>
      <c r="BI4" s="11" t="s">
        <v>19</v>
      </c>
      <c r="BJ4" s="6" t="s">
        <v>20</v>
      </c>
      <c r="BK4" s="8" t="s">
        <v>21</v>
      </c>
      <c r="BM4" s="50"/>
      <c r="BN4" s="48"/>
      <c r="BO4" s="48"/>
      <c r="BP4" s="48"/>
      <c r="BR4" s="49"/>
    </row>
    <row r="5" spans="1:70" x14ac:dyDescent="0.2">
      <c r="A5" t="s">
        <v>108</v>
      </c>
      <c r="B5" s="15">
        <v>43106</v>
      </c>
      <c r="C5" s="17">
        <v>43108.5</v>
      </c>
      <c r="D5" s="17">
        <v>43116.5</v>
      </c>
      <c r="E5" s="17">
        <v>43116.5</v>
      </c>
      <c r="F5" t="s">
        <v>109</v>
      </c>
      <c r="G5" s="9">
        <v>70000</v>
      </c>
      <c r="H5" t="s">
        <v>53</v>
      </c>
      <c r="I5" s="2" t="s">
        <v>25</v>
      </c>
      <c r="J5" t="s">
        <v>110</v>
      </c>
      <c r="K5" s="15">
        <v>43112.5</v>
      </c>
      <c r="L5" s="17">
        <v>43112.5</v>
      </c>
      <c r="M5" s="17">
        <v>43117.5</v>
      </c>
      <c r="N5" s="17">
        <v>43117.5</v>
      </c>
      <c r="O5" t="s">
        <v>111</v>
      </c>
      <c r="P5" s="9">
        <v>44000</v>
      </c>
      <c r="Q5" t="s">
        <v>62</v>
      </c>
      <c r="R5" s="2" t="s">
        <v>25</v>
      </c>
      <c r="S5" t="s">
        <v>112</v>
      </c>
      <c r="T5" s="15">
        <v>43114</v>
      </c>
      <c r="U5" s="17">
        <v>43115</v>
      </c>
      <c r="V5" s="17">
        <v>43119</v>
      </c>
      <c r="W5" s="17">
        <v>43119</v>
      </c>
      <c r="X5" t="s">
        <v>113</v>
      </c>
      <c r="Y5" s="12">
        <v>5000</v>
      </c>
      <c r="Z5" t="s">
        <v>62</v>
      </c>
      <c r="AA5" s="2" t="s">
        <v>25</v>
      </c>
      <c r="AB5" t="s">
        <v>114</v>
      </c>
      <c r="AC5" s="15">
        <v>43094</v>
      </c>
      <c r="AD5" s="17">
        <v>43113</v>
      </c>
      <c r="AE5" s="17">
        <v>43117</v>
      </c>
      <c r="AF5" s="17">
        <v>43117</v>
      </c>
      <c r="AG5" t="s">
        <v>115</v>
      </c>
      <c r="AH5" s="9">
        <v>4070</v>
      </c>
      <c r="AI5" t="s">
        <v>53</v>
      </c>
      <c r="AJ5" s="2" t="s">
        <v>25</v>
      </c>
      <c r="AK5" t="s">
        <v>116</v>
      </c>
      <c r="AL5" s="15">
        <v>43113</v>
      </c>
      <c r="AM5" s="17">
        <v>43114</v>
      </c>
      <c r="AN5" s="17">
        <v>43117</v>
      </c>
      <c r="AO5" s="17">
        <v>43117</v>
      </c>
      <c r="AP5" t="s">
        <v>64</v>
      </c>
      <c r="AQ5" s="9">
        <v>250</v>
      </c>
      <c r="AR5" t="s">
        <v>20</v>
      </c>
      <c r="AS5" s="2" t="s">
        <v>25</v>
      </c>
      <c r="AT5" t="s">
        <v>117</v>
      </c>
      <c r="AU5" s="15">
        <v>43109</v>
      </c>
      <c r="AV5" s="17">
        <v>43116</v>
      </c>
      <c r="AW5" s="17">
        <v>43118</v>
      </c>
      <c r="AX5" s="17">
        <v>43118</v>
      </c>
      <c r="AY5" t="s">
        <v>118</v>
      </c>
      <c r="AZ5" s="9">
        <v>20000</v>
      </c>
      <c r="BA5" t="s">
        <v>53</v>
      </c>
      <c r="BB5" s="2" t="s">
        <v>25</v>
      </c>
      <c r="BC5" t="s">
        <v>119</v>
      </c>
      <c r="BD5" s="15">
        <v>43112</v>
      </c>
      <c r="BE5" s="17">
        <v>43114</v>
      </c>
      <c r="BF5" s="17">
        <v>43116</v>
      </c>
      <c r="BG5" s="17">
        <v>43116</v>
      </c>
      <c r="BH5" t="s">
        <v>118</v>
      </c>
      <c r="BI5" s="9">
        <v>20000</v>
      </c>
      <c r="BJ5" t="s">
        <v>53</v>
      </c>
    </row>
    <row r="6" spans="1:70" x14ac:dyDescent="0.2">
      <c r="A6" t="s">
        <v>120</v>
      </c>
      <c r="B6" s="15">
        <v>43100</v>
      </c>
      <c r="C6" s="17">
        <v>43116.5</v>
      </c>
      <c r="F6" t="s">
        <v>109</v>
      </c>
      <c r="G6" s="9">
        <v>70000</v>
      </c>
      <c r="H6" t="s">
        <v>53</v>
      </c>
      <c r="J6" t="s">
        <v>121</v>
      </c>
      <c r="K6" s="15">
        <v>43112</v>
      </c>
      <c r="L6" s="17">
        <v>43117.5</v>
      </c>
      <c r="M6" s="17">
        <v>43122.5</v>
      </c>
      <c r="N6" s="17">
        <v>43122.5</v>
      </c>
      <c r="O6" t="s">
        <v>115</v>
      </c>
      <c r="P6" s="9">
        <v>11550</v>
      </c>
      <c r="Q6" t="s">
        <v>53</v>
      </c>
      <c r="S6" t="s">
        <v>122</v>
      </c>
      <c r="T6" s="15">
        <v>43111</v>
      </c>
      <c r="U6" s="17">
        <v>43119</v>
      </c>
      <c r="V6" s="17">
        <v>43121</v>
      </c>
      <c r="W6" s="17">
        <v>43121</v>
      </c>
      <c r="X6" t="s">
        <v>123</v>
      </c>
      <c r="Y6" s="12">
        <v>15000</v>
      </c>
      <c r="Z6" t="s">
        <v>53</v>
      </c>
      <c r="AB6" t="s">
        <v>124</v>
      </c>
      <c r="AC6" s="15">
        <v>43094</v>
      </c>
      <c r="AD6" s="17">
        <v>43117</v>
      </c>
      <c r="AE6" s="17">
        <v>43121</v>
      </c>
      <c r="AF6" s="17">
        <v>43121</v>
      </c>
      <c r="AG6" t="s">
        <v>125</v>
      </c>
      <c r="AH6" s="9">
        <v>25500</v>
      </c>
      <c r="AI6" t="s">
        <v>53</v>
      </c>
      <c r="AK6" t="s">
        <v>126</v>
      </c>
      <c r="AL6" s="15">
        <v>43115</v>
      </c>
      <c r="AM6" s="17">
        <v>43117</v>
      </c>
      <c r="AP6" t="s">
        <v>64</v>
      </c>
      <c r="AQ6" s="9">
        <v>255</v>
      </c>
      <c r="AR6" t="s">
        <v>20</v>
      </c>
      <c r="AT6" t="s">
        <v>127</v>
      </c>
      <c r="AU6" s="15">
        <v>43105</v>
      </c>
      <c r="AV6" s="17">
        <v>43118</v>
      </c>
      <c r="AW6" s="17">
        <v>43120</v>
      </c>
      <c r="AX6" s="17">
        <v>43120</v>
      </c>
      <c r="AY6" t="s">
        <v>128</v>
      </c>
      <c r="AZ6" s="9">
        <v>55000</v>
      </c>
      <c r="BA6" t="s">
        <v>62</v>
      </c>
      <c r="BC6" t="s">
        <v>129</v>
      </c>
      <c r="BD6" s="15">
        <v>43127</v>
      </c>
      <c r="BE6" s="17">
        <v>43127</v>
      </c>
      <c r="BF6" s="17">
        <v>43130</v>
      </c>
      <c r="BG6" s="17">
        <v>43130</v>
      </c>
      <c r="BH6" t="s">
        <v>128</v>
      </c>
      <c r="BI6" s="9">
        <v>55000</v>
      </c>
      <c r="BJ6" t="s">
        <v>53</v>
      </c>
    </row>
    <row r="7" spans="1:70" x14ac:dyDescent="0.2">
      <c r="A7" t="s">
        <v>130</v>
      </c>
      <c r="B7" s="15">
        <v>43111.5</v>
      </c>
      <c r="F7" t="s">
        <v>125</v>
      </c>
      <c r="G7" s="9">
        <v>20000</v>
      </c>
      <c r="H7" t="s">
        <v>53</v>
      </c>
      <c r="J7" t="s">
        <v>131</v>
      </c>
      <c r="K7" s="15">
        <v>43122</v>
      </c>
      <c r="L7" s="17">
        <v>43122</v>
      </c>
      <c r="M7" s="17">
        <v>43124</v>
      </c>
      <c r="N7" s="17">
        <v>43124</v>
      </c>
      <c r="O7" t="s">
        <v>113</v>
      </c>
      <c r="P7" s="9">
        <v>33000</v>
      </c>
      <c r="Q7" t="s">
        <v>62</v>
      </c>
      <c r="S7" t="s">
        <v>132</v>
      </c>
      <c r="T7" s="15">
        <v>43121</v>
      </c>
      <c r="U7" s="17">
        <v>43121</v>
      </c>
      <c r="V7" s="17">
        <v>43123</v>
      </c>
      <c r="W7" s="17">
        <v>43123</v>
      </c>
      <c r="X7" t="s">
        <v>113</v>
      </c>
      <c r="Y7" s="12">
        <v>35000</v>
      </c>
      <c r="Z7" t="s">
        <v>62</v>
      </c>
      <c r="AB7" t="s">
        <v>133</v>
      </c>
      <c r="AC7" s="15">
        <v>43098</v>
      </c>
      <c r="AD7" s="17">
        <v>43121</v>
      </c>
      <c r="AE7" s="17">
        <v>43125</v>
      </c>
      <c r="AF7" s="17">
        <v>43125</v>
      </c>
      <c r="AG7" t="s">
        <v>115</v>
      </c>
      <c r="AH7" s="9">
        <v>16200</v>
      </c>
      <c r="AI7" t="s">
        <v>53</v>
      </c>
      <c r="AK7" t="s">
        <v>134</v>
      </c>
      <c r="AL7" s="15">
        <v>43115</v>
      </c>
      <c r="AP7" t="s">
        <v>64</v>
      </c>
      <c r="AQ7" s="9">
        <v>250</v>
      </c>
      <c r="AR7" t="s">
        <v>20</v>
      </c>
      <c r="AT7" t="s">
        <v>135</v>
      </c>
      <c r="AU7" s="15">
        <v>43110</v>
      </c>
      <c r="AV7" s="17">
        <v>43120</v>
      </c>
      <c r="AW7" s="17">
        <v>43122</v>
      </c>
      <c r="AX7" s="17">
        <v>43122</v>
      </c>
      <c r="AZ7" s="9"/>
      <c r="BA7" t="s">
        <v>62</v>
      </c>
    </row>
    <row r="8" spans="1:70" x14ac:dyDescent="0.2">
      <c r="A8" t="s">
        <v>136</v>
      </c>
      <c r="B8" s="15">
        <v>43117.5</v>
      </c>
      <c r="F8" t="s">
        <v>109</v>
      </c>
      <c r="G8" s="9">
        <v>55000</v>
      </c>
      <c r="H8" t="s">
        <v>53</v>
      </c>
      <c r="J8" t="s">
        <v>137</v>
      </c>
      <c r="K8" s="15">
        <v>43122</v>
      </c>
      <c r="L8" s="17">
        <v>43124</v>
      </c>
      <c r="M8" s="17">
        <v>43127</v>
      </c>
      <c r="N8" s="17">
        <v>43127</v>
      </c>
      <c r="O8" t="s">
        <v>113</v>
      </c>
      <c r="P8" s="9">
        <v>35000</v>
      </c>
      <c r="Q8" t="s">
        <v>62</v>
      </c>
      <c r="S8" t="s">
        <v>138</v>
      </c>
      <c r="T8" s="15">
        <v>43124</v>
      </c>
      <c r="U8" s="17">
        <v>43124</v>
      </c>
      <c r="V8" s="17">
        <v>43126</v>
      </c>
      <c r="W8" s="17">
        <v>43126</v>
      </c>
      <c r="X8" t="s">
        <v>113</v>
      </c>
      <c r="Y8" s="12">
        <v>35000</v>
      </c>
      <c r="Z8" t="s">
        <v>62</v>
      </c>
      <c r="AB8" t="s">
        <v>139</v>
      </c>
      <c r="AC8" s="15">
        <v>43106</v>
      </c>
      <c r="AD8" s="17">
        <v>43125</v>
      </c>
      <c r="AE8" s="17">
        <v>43130</v>
      </c>
      <c r="AF8" s="17">
        <v>43130</v>
      </c>
      <c r="AG8" t="s">
        <v>115</v>
      </c>
      <c r="AH8" s="9">
        <v>41250</v>
      </c>
      <c r="AI8" t="s">
        <v>53</v>
      </c>
      <c r="AK8" t="s">
        <v>140</v>
      </c>
      <c r="AL8" s="15">
        <v>43116</v>
      </c>
      <c r="AP8" t="s">
        <v>64</v>
      </c>
      <c r="AQ8" s="9">
        <v>250</v>
      </c>
      <c r="AR8" t="s">
        <v>20</v>
      </c>
      <c r="AT8" t="s">
        <v>122</v>
      </c>
      <c r="AU8" s="15">
        <v>43111</v>
      </c>
      <c r="AV8" s="17">
        <v>43122</v>
      </c>
      <c r="AW8" s="17">
        <v>43124</v>
      </c>
      <c r="AX8" s="17">
        <v>43124</v>
      </c>
      <c r="AZ8" s="9"/>
      <c r="BA8" t="s">
        <v>62</v>
      </c>
    </row>
    <row r="9" spans="1:70" x14ac:dyDescent="0.2">
      <c r="A9" t="s">
        <v>108</v>
      </c>
      <c r="B9" s="15">
        <v>43122</v>
      </c>
      <c r="F9" t="s">
        <v>109</v>
      </c>
      <c r="G9" s="9">
        <v>70000</v>
      </c>
      <c r="H9" t="s">
        <v>53</v>
      </c>
      <c r="J9" t="s">
        <v>141</v>
      </c>
      <c r="K9" s="15">
        <v>43124</v>
      </c>
      <c r="L9" s="17">
        <v>43127</v>
      </c>
      <c r="M9" s="17">
        <v>43129</v>
      </c>
      <c r="N9" s="17">
        <v>43129</v>
      </c>
      <c r="O9" t="s">
        <v>113</v>
      </c>
      <c r="P9" s="9">
        <v>35000</v>
      </c>
      <c r="Q9" t="s">
        <v>62</v>
      </c>
      <c r="S9" t="s">
        <v>130</v>
      </c>
      <c r="T9" s="15">
        <v>43111</v>
      </c>
      <c r="U9" s="17">
        <v>43126</v>
      </c>
      <c r="V9" s="17">
        <v>43130</v>
      </c>
      <c r="W9" s="17">
        <v>43130</v>
      </c>
      <c r="X9" t="s">
        <v>125</v>
      </c>
      <c r="Y9" s="12">
        <v>30200</v>
      </c>
      <c r="Z9" t="s">
        <v>53</v>
      </c>
      <c r="AB9" t="s">
        <v>142</v>
      </c>
      <c r="AC9" s="15">
        <v>43111</v>
      </c>
      <c r="AD9" s="17">
        <v>43130</v>
      </c>
      <c r="AE9" s="17">
        <v>43133</v>
      </c>
      <c r="AF9" s="17">
        <v>43133</v>
      </c>
      <c r="AG9" t="s">
        <v>125</v>
      </c>
      <c r="AH9" s="9">
        <v>20150</v>
      </c>
      <c r="AI9" t="s">
        <v>53</v>
      </c>
      <c r="AK9" t="s">
        <v>101</v>
      </c>
      <c r="AL9" s="15">
        <v>43118</v>
      </c>
      <c r="AP9" t="s">
        <v>64</v>
      </c>
      <c r="AQ9" s="9">
        <v>250</v>
      </c>
      <c r="AR9" t="s">
        <v>20</v>
      </c>
      <c r="AT9" t="s">
        <v>143</v>
      </c>
      <c r="AU9" s="15">
        <v>43115</v>
      </c>
      <c r="AV9" s="17">
        <v>43124</v>
      </c>
      <c r="AW9" s="17">
        <v>43125</v>
      </c>
      <c r="AX9" s="17">
        <v>43125</v>
      </c>
      <c r="AZ9" s="9"/>
      <c r="BA9" t="s">
        <v>53</v>
      </c>
    </row>
    <row r="10" spans="1:70" x14ac:dyDescent="0.2">
      <c r="J10" t="s">
        <v>144</v>
      </c>
      <c r="K10" s="15">
        <v>43132</v>
      </c>
      <c r="L10" s="17">
        <v>43132</v>
      </c>
      <c r="M10" s="17">
        <v>43135</v>
      </c>
      <c r="N10" s="17">
        <v>43135</v>
      </c>
      <c r="O10" t="s">
        <v>113</v>
      </c>
      <c r="P10" s="9">
        <v>50000</v>
      </c>
      <c r="Q10" t="s">
        <v>62</v>
      </c>
      <c r="S10" t="s">
        <v>145</v>
      </c>
      <c r="T10" s="15">
        <v>43130</v>
      </c>
      <c r="U10" s="17">
        <v>43130</v>
      </c>
      <c r="V10" s="17">
        <v>43132</v>
      </c>
      <c r="W10" s="17">
        <v>43132</v>
      </c>
      <c r="X10" t="s">
        <v>113</v>
      </c>
      <c r="Y10" s="12">
        <v>35000</v>
      </c>
      <c r="Z10" t="s">
        <v>62</v>
      </c>
      <c r="AB10" t="s">
        <v>122</v>
      </c>
      <c r="AC10" s="15">
        <v>43111</v>
      </c>
      <c r="AD10" s="17">
        <v>43133</v>
      </c>
      <c r="AE10" s="17">
        <v>43135</v>
      </c>
      <c r="AF10" s="17">
        <v>43135</v>
      </c>
      <c r="AG10" t="s">
        <v>123</v>
      </c>
      <c r="AH10" s="9">
        <v>3000</v>
      </c>
      <c r="AI10" t="s">
        <v>53</v>
      </c>
      <c r="AK10" t="s">
        <v>75</v>
      </c>
      <c r="AL10" s="15">
        <v>43120</v>
      </c>
      <c r="AP10" t="s">
        <v>64</v>
      </c>
      <c r="AQ10" s="9">
        <v>250</v>
      </c>
      <c r="AR10" t="s">
        <v>20</v>
      </c>
      <c r="AT10" t="s">
        <v>146</v>
      </c>
      <c r="AU10" s="15">
        <v>43116</v>
      </c>
      <c r="AV10" s="17">
        <v>43125</v>
      </c>
      <c r="AW10" s="17">
        <v>43126</v>
      </c>
      <c r="AX10" s="17">
        <v>43126</v>
      </c>
      <c r="AZ10" s="9"/>
      <c r="BA10" t="s">
        <v>62</v>
      </c>
    </row>
    <row r="11" spans="1:70" x14ac:dyDescent="0.2">
      <c r="J11" t="s">
        <v>147</v>
      </c>
      <c r="K11" s="15">
        <v>43156</v>
      </c>
      <c r="L11" s="17">
        <v>43156</v>
      </c>
      <c r="M11" s="17">
        <v>43159</v>
      </c>
      <c r="N11" s="17">
        <v>43159</v>
      </c>
      <c r="O11" t="s">
        <v>148</v>
      </c>
      <c r="P11" s="9">
        <v>7000</v>
      </c>
      <c r="Q11" t="s">
        <v>53</v>
      </c>
      <c r="S11" t="s">
        <v>149</v>
      </c>
      <c r="T11" s="15">
        <v>43144</v>
      </c>
      <c r="U11" s="17">
        <v>43144</v>
      </c>
      <c r="V11" s="17">
        <v>43146</v>
      </c>
      <c r="W11" s="17">
        <v>43146</v>
      </c>
      <c r="X11" t="s">
        <v>113</v>
      </c>
      <c r="Y11" s="12">
        <v>13400</v>
      </c>
      <c r="Z11" t="s">
        <v>62</v>
      </c>
      <c r="AB11" t="s">
        <v>121</v>
      </c>
      <c r="AC11" s="15">
        <v>43112</v>
      </c>
      <c r="AD11" s="17">
        <v>43135</v>
      </c>
      <c r="AE11" s="17">
        <v>43138</v>
      </c>
      <c r="AF11" s="17">
        <v>43138</v>
      </c>
      <c r="AG11" t="s">
        <v>115</v>
      </c>
      <c r="AH11" s="9">
        <v>5000</v>
      </c>
      <c r="AI11" t="s">
        <v>53</v>
      </c>
      <c r="AK11" t="s">
        <v>150</v>
      </c>
      <c r="AL11" s="15">
        <v>43122</v>
      </c>
      <c r="AP11" t="s">
        <v>64</v>
      </c>
      <c r="AQ11" s="9">
        <v>250</v>
      </c>
      <c r="AR11" t="s">
        <v>20</v>
      </c>
      <c r="AT11" t="s">
        <v>151</v>
      </c>
      <c r="AU11" s="15">
        <v>43129</v>
      </c>
      <c r="AV11" s="17">
        <v>43129</v>
      </c>
      <c r="AZ11" s="9"/>
      <c r="BA11" t="s">
        <v>20</v>
      </c>
      <c r="BB11" s="2" t="s">
        <v>152</v>
      </c>
    </row>
    <row r="12" spans="1:70" x14ac:dyDescent="0.2">
      <c r="AB12" t="s">
        <v>153</v>
      </c>
      <c r="AC12" s="15">
        <v>43118</v>
      </c>
      <c r="AD12" s="17">
        <v>43138</v>
      </c>
      <c r="AE12" s="17">
        <v>43141</v>
      </c>
      <c r="AF12" s="17">
        <v>43141</v>
      </c>
      <c r="AG12" t="s">
        <v>154</v>
      </c>
      <c r="AH12" s="9">
        <v>15000</v>
      </c>
      <c r="AI12" t="s">
        <v>53</v>
      </c>
      <c r="AK12" t="s">
        <v>155</v>
      </c>
      <c r="AL12" s="15">
        <v>43123</v>
      </c>
      <c r="AP12" t="s">
        <v>64</v>
      </c>
      <c r="AQ12" s="9">
        <v>250</v>
      </c>
      <c r="AR12" t="s">
        <v>20</v>
      </c>
      <c r="AZ12" s="9"/>
    </row>
    <row r="13" spans="1:70" x14ac:dyDescent="0.2">
      <c r="AB13" t="s">
        <v>156</v>
      </c>
      <c r="AC13" s="15">
        <v>43119</v>
      </c>
      <c r="AD13" s="17">
        <v>43141</v>
      </c>
      <c r="AE13" s="17">
        <v>43143</v>
      </c>
      <c r="AF13" s="17">
        <v>43143</v>
      </c>
      <c r="AG13" t="s">
        <v>115</v>
      </c>
      <c r="AH13" s="9">
        <v>11550</v>
      </c>
      <c r="AI13" t="s">
        <v>53</v>
      </c>
      <c r="AK13" t="s">
        <v>157</v>
      </c>
      <c r="AL13" s="15">
        <v>43127</v>
      </c>
      <c r="AM13" s="17">
        <v>43127</v>
      </c>
      <c r="AN13" s="17">
        <v>43129</v>
      </c>
      <c r="AO13" s="17">
        <v>43129</v>
      </c>
      <c r="AP13" t="s">
        <v>64</v>
      </c>
      <c r="AQ13" s="9">
        <v>250</v>
      </c>
      <c r="AR13" t="s">
        <v>20</v>
      </c>
      <c r="AZ13" s="9"/>
    </row>
    <row r="14" spans="1:70" x14ac:dyDescent="0.2">
      <c r="AB14" t="s">
        <v>158</v>
      </c>
      <c r="AC14" s="15">
        <v>43120</v>
      </c>
      <c r="AD14" s="17">
        <v>43143</v>
      </c>
      <c r="AE14" s="17">
        <v>43148</v>
      </c>
      <c r="AF14" s="17">
        <v>43148</v>
      </c>
      <c r="AG14" t="s">
        <v>159</v>
      </c>
      <c r="AH14" s="9">
        <v>10000</v>
      </c>
      <c r="AI14" t="s">
        <v>62</v>
      </c>
      <c r="AK14" t="s">
        <v>160</v>
      </c>
      <c r="AL14" s="15">
        <v>43129</v>
      </c>
      <c r="AM14" s="17">
        <v>43129</v>
      </c>
      <c r="AN14" s="17">
        <v>43130</v>
      </c>
      <c r="AO14" s="17">
        <v>43130</v>
      </c>
      <c r="AP14" t="s">
        <v>64</v>
      </c>
      <c r="AQ14" s="9">
        <v>250</v>
      </c>
      <c r="AR14" t="s">
        <v>20</v>
      </c>
      <c r="AZ14" s="9"/>
    </row>
    <row r="15" spans="1:70" x14ac:dyDescent="0.2">
      <c r="AB15" t="s">
        <v>161</v>
      </c>
      <c r="AC15" s="15">
        <v>43122</v>
      </c>
      <c r="AD15" s="17">
        <v>43148</v>
      </c>
      <c r="AE15" s="17">
        <v>43151</v>
      </c>
      <c r="AF15" s="17">
        <v>43151</v>
      </c>
      <c r="AG15" t="s">
        <v>159</v>
      </c>
      <c r="AH15" s="9">
        <v>17500</v>
      </c>
      <c r="AI15" t="s">
        <v>62</v>
      </c>
      <c r="AK15" t="s">
        <v>162</v>
      </c>
      <c r="AL15" s="15">
        <v>43130</v>
      </c>
      <c r="AM15" s="17">
        <v>43130</v>
      </c>
      <c r="AN15" s="17">
        <v>43131</v>
      </c>
      <c r="AO15" s="17">
        <v>43131</v>
      </c>
      <c r="AP15" t="s">
        <v>64</v>
      </c>
      <c r="AQ15" s="9">
        <v>250</v>
      </c>
      <c r="AR15" t="s">
        <v>20</v>
      </c>
      <c r="AZ15" s="9"/>
    </row>
    <row r="16" spans="1:70" x14ac:dyDescent="0.2">
      <c r="AB16" t="s">
        <v>163</v>
      </c>
      <c r="AC16" s="15">
        <v>43128</v>
      </c>
      <c r="AD16" s="17">
        <v>43151</v>
      </c>
      <c r="AE16" s="17">
        <v>43154</v>
      </c>
      <c r="AF16" s="17">
        <v>43154</v>
      </c>
      <c r="AG16" t="s">
        <v>115</v>
      </c>
      <c r="AH16" s="9">
        <v>10000</v>
      </c>
      <c r="AI16" t="s">
        <v>53</v>
      </c>
      <c r="AK16" t="s">
        <v>151</v>
      </c>
      <c r="AL16" s="15">
        <v>43131</v>
      </c>
      <c r="AM16" s="17">
        <v>43131</v>
      </c>
      <c r="AP16" t="s">
        <v>64</v>
      </c>
      <c r="AQ16" s="9">
        <v>102</v>
      </c>
      <c r="AR16" t="s">
        <v>20</v>
      </c>
      <c r="AS16" s="2" t="s">
        <v>152</v>
      </c>
      <c r="AZ16" s="9"/>
    </row>
    <row r="17" spans="37:45" x14ac:dyDescent="0.2">
      <c r="AK17" t="s">
        <v>164</v>
      </c>
      <c r="AL17" s="15">
        <v>43132</v>
      </c>
      <c r="AM17" s="17">
        <v>43132</v>
      </c>
      <c r="AP17" t="s">
        <v>64</v>
      </c>
      <c r="AR17" t="s">
        <v>20</v>
      </c>
      <c r="AS17" s="2" t="s">
        <v>152</v>
      </c>
    </row>
    <row r="18" spans="37:45" x14ac:dyDescent="0.2">
      <c r="AK18" t="s">
        <v>165</v>
      </c>
      <c r="AL18" s="15">
        <v>43132</v>
      </c>
      <c r="AM18" s="17">
        <v>43133</v>
      </c>
      <c r="AP18" t="s">
        <v>64</v>
      </c>
      <c r="AR18" t="s">
        <v>20</v>
      </c>
      <c r="AS18" s="2" t="s">
        <v>152</v>
      </c>
    </row>
    <row r="19" spans="37:45" x14ac:dyDescent="0.2">
      <c r="AK19" t="s">
        <v>166</v>
      </c>
      <c r="AL19" s="15">
        <v>43134</v>
      </c>
      <c r="AM19" s="17">
        <v>43134</v>
      </c>
      <c r="AN19" s="17">
        <v>43135</v>
      </c>
      <c r="AO19" s="17">
        <v>43135</v>
      </c>
      <c r="AP19" t="s">
        <v>64</v>
      </c>
      <c r="AQ19" s="9">
        <v>250</v>
      </c>
      <c r="AR19" t="s">
        <v>20</v>
      </c>
    </row>
    <row r="20" spans="37:45" x14ac:dyDescent="0.2">
      <c r="AK20" t="s">
        <v>167</v>
      </c>
      <c r="AL20" s="15">
        <v>43135</v>
      </c>
      <c r="AM20" s="17">
        <v>43135</v>
      </c>
      <c r="AN20" s="17">
        <v>43136</v>
      </c>
      <c r="AO20" s="17">
        <v>43136</v>
      </c>
      <c r="AP20" t="s">
        <v>64</v>
      </c>
      <c r="AQ20" s="9">
        <v>250</v>
      </c>
      <c r="AR20" t="s">
        <v>20</v>
      </c>
    </row>
  </sheetData>
  <hyperlinks>
    <hyperlink ref="B2" r:id="rId1" display="mailto:loren@fortship.com.br" xr:uid="{F5DF5EBB-CB5B-402B-A295-0D1D3FB44E99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E33B-1AF3-EB4A-8B68-71F67F82695E}">
  <dimension ref="A1:J59"/>
  <sheetViews>
    <sheetView topLeftCell="A25" workbookViewId="0">
      <selection activeCell="I66" sqref="I66"/>
    </sheetView>
  </sheetViews>
  <sheetFormatPr baseColWidth="10" defaultColWidth="11" defaultRowHeight="16" x14ac:dyDescent="0.2"/>
  <cols>
    <col min="1" max="1" width="10.83203125" style="39"/>
    <col min="2" max="2" width="19.83203125" customWidth="1"/>
    <col min="3" max="3" width="13.6640625" style="15" customWidth="1"/>
    <col min="4" max="6" width="10.83203125" style="17"/>
    <col min="7" max="7" width="22.83203125" bestFit="1" customWidth="1"/>
    <col min="8" max="8" width="21.5" style="12" bestFit="1" customWidth="1"/>
    <col min="10" max="10" width="21.83203125" customWidth="1"/>
  </cols>
  <sheetData>
    <row r="1" spans="1:10" x14ac:dyDescent="0.2">
      <c r="A1" s="3" t="s">
        <v>107</v>
      </c>
    </row>
    <row r="2" spans="1:10" x14ac:dyDescent="0.2">
      <c r="A2" s="3"/>
    </row>
    <row r="3" spans="1:10" x14ac:dyDescent="0.2">
      <c r="A3" s="3" t="str" cm="1">
        <f t="array" ref="A3:J59">_xlfn.LET(
    _xlpm.source,VDC!A3:DD75,
    _xlpm.numberOfBlocks,QUOTIENT(COLUMNS(_xlpm.source),9),
    _xlpm.headers,_xlfn.HSTACK(
        "Berth",
        "Vessels Names",
        "ETA",
        "ETB",
        "ETC",
        "ETD",
        "Cargo",
        "Quantity",
        "Load/Disch",
        "Remarks"
    ),
    _xlpm.data,
    _xlfn.REDUCE(
        "",
        _xlfn.SEQUENCE(_xlpm.numberOfBlocks),
        _xlfn.LAMBDA(_xlpm.acc,_xlpm.n,
            _xlfn.LET(
                _xlpm.block,_xlfn.CHOOSECOLS(_xlpm.source,_xlfn.SEQUENCE(1,9,(_xlpm.n-1)*9+1)),
                _xlpm.berth,INDEX(_xlpm.block,1,1),
                _xlpm.vesselRange,_xlfn.DROP(_xlpm.block,2),
                _xlpm.vesselColumn,_xlfn.CHOOSECOLS(_xlpm.vesselRange,1),
                _xlpm.vesselCount,SUM(--(_xlpm.vesselColumn&lt;&gt;"")),
                IF(
                    _xlpm.berth="",
                    _xlpm.acc,
                    IF(
                        _xlpm.vesselCount=0,
                        _xlfn.VSTACK(
                            _xlpm.acc,
                            _xlfn.HSTACK(
                                _xlpm.berth,
                                "",
                                "",
                                "",
                                "",
                                "",
                                "",
                                "",
                                "",
                                ""
                            )
                        ),
                        _xlfn.LET(
                            _xlpm.vesselData,_xlfn._xlws.FILTER(
                                _xlpm.vesselRange,
                                _xlpm.vesselColumn&lt;&gt;""
                            ),
                            _xlpm.cleanData,IF(
                                _xlpm.vesselData="",
                                "",
                                _xlpm.vesselData
                            ),
                            _xlfn.VSTACK(
                                _xlpm.acc,
                                _xlfn.HSTACK(
                                    IF(
                                        _xlfn.SEQUENCE(ROWS(_xlpm.cleanData))=1,
                                        _xlpm.berth,
                                        ""
                                    ),
                                    _xlpm.cleanData
                                )
                            )
                        )
                    )
                )
            )
        )
    ),
    _xlfn.VSTACK(
        _xlpm.headers,
        _xlfn.DROP(_xlpm.data,1)
    )
)</f>
        <v>Berth</v>
      </c>
      <c r="B3" s="6" t="str">
        <v>Vessels Names</v>
      </c>
      <c r="C3" s="16" t="str">
        <v>ETA</v>
      </c>
      <c r="D3" s="38" t="str">
        <v>ETB</v>
      </c>
      <c r="E3" s="38" t="str">
        <v>ETC</v>
      </c>
      <c r="F3" s="38" t="str">
        <v>ETD</v>
      </c>
      <c r="G3" s="6" t="str">
        <v>Cargo</v>
      </c>
      <c r="H3" s="40" t="str">
        <v>Quantity</v>
      </c>
      <c r="I3" s="6" t="str">
        <v>Load/Disch</v>
      </c>
      <c r="J3" s="6" t="str">
        <v>Remarks</v>
      </c>
    </row>
    <row r="4" spans="1:10" x14ac:dyDescent="0.2">
      <c r="A4" s="39">
        <v>101</v>
      </c>
      <c r="B4" t="str">
        <v>HB Tambaqui</v>
      </c>
      <c r="C4" s="15">
        <v>43106</v>
      </c>
      <c r="D4" s="37">
        <v>43108.5</v>
      </c>
      <c r="E4" s="37">
        <v>43116.5</v>
      </c>
      <c r="F4" s="37">
        <v>43116.5</v>
      </c>
      <c r="G4" t="str">
        <v>Bauxite</v>
      </c>
      <c r="H4" s="12">
        <v>70000</v>
      </c>
      <c r="I4" t="str">
        <v>Discharge</v>
      </c>
      <c r="J4" t="str">
        <v xml:space="preserve">At Berth. </v>
      </c>
    </row>
    <row r="5" spans="1:10" x14ac:dyDescent="0.2">
      <c r="A5" s="39" t="str">
        <v/>
      </c>
      <c r="B5" t="str">
        <v>HB Tucunare</v>
      </c>
      <c r="C5" s="15">
        <v>43100</v>
      </c>
      <c r="D5" s="17">
        <v>43116.5</v>
      </c>
      <c r="E5" s="17" t="str">
        <v/>
      </c>
      <c r="F5" s="17" t="str">
        <v/>
      </c>
      <c r="G5" t="str">
        <v>Bauxite</v>
      </c>
      <c r="H5" s="12">
        <v>70000</v>
      </c>
      <c r="I5" t="str">
        <v>Discharge</v>
      </c>
      <c r="J5" t="str">
        <v/>
      </c>
    </row>
    <row r="6" spans="1:10" x14ac:dyDescent="0.2">
      <c r="A6" s="39" t="str">
        <v/>
      </c>
      <c r="B6" t="str">
        <v>Falmouth Bay</v>
      </c>
      <c r="C6" s="15">
        <v>43111.5</v>
      </c>
      <c r="D6" s="17" t="str">
        <v/>
      </c>
      <c r="E6" s="17" t="str">
        <v/>
      </c>
      <c r="F6" s="17" t="str">
        <v/>
      </c>
      <c r="G6" t="str">
        <v>Coal</v>
      </c>
      <c r="H6" s="12">
        <v>20000</v>
      </c>
      <c r="I6" t="str">
        <v>Discharge</v>
      </c>
      <c r="J6" t="str">
        <v/>
      </c>
    </row>
    <row r="7" spans="1:10" x14ac:dyDescent="0.2">
      <c r="A7" s="39" t="str">
        <v/>
      </c>
      <c r="B7" t="str">
        <v>Vishva Vinay</v>
      </c>
      <c r="C7" s="15">
        <v>43117.5</v>
      </c>
      <c r="D7" s="17" t="str">
        <v/>
      </c>
      <c r="E7" s="17" t="str">
        <v/>
      </c>
      <c r="F7" s="17" t="str">
        <v/>
      </c>
      <c r="G7" t="str">
        <v>Bauxite</v>
      </c>
      <c r="H7" s="12">
        <v>55000</v>
      </c>
      <c r="I7" t="str">
        <v>Discharge</v>
      </c>
      <c r="J7" t="str">
        <v/>
      </c>
    </row>
    <row r="8" spans="1:10" x14ac:dyDescent="0.2">
      <c r="A8" s="39" t="str">
        <v/>
      </c>
      <c r="B8" t="str">
        <v>HB Tambaqui</v>
      </c>
      <c r="C8" s="15">
        <v>43122</v>
      </c>
      <c r="D8" s="17" t="str">
        <v/>
      </c>
      <c r="E8" s="17" t="str">
        <v/>
      </c>
      <c r="F8" s="17" t="str">
        <v/>
      </c>
      <c r="G8" t="str">
        <v>Bauxite</v>
      </c>
      <c r="H8" s="12">
        <v>70000</v>
      </c>
      <c r="I8" t="str">
        <v>Discharge</v>
      </c>
      <c r="J8" t="str">
        <v/>
      </c>
    </row>
    <row r="9" spans="1:10" x14ac:dyDescent="0.2">
      <c r="A9" s="39">
        <v>102</v>
      </c>
      <c r="B9" t="str">
        <v>Golden Island</v>
      </c>
      <c r="C9" s="15">
        <v>43112.5</v>
      </c>
      <c r="D9" s="17">
        <v>43112.5</v>
      </c>
      <c r="E9" s="17">
        <v>43117.5</v>
      </c>
      <c r="F9" s="17">
        <v>43117.5</v>
      </c>
      <c r="G9" t="str">
        <v>Hidrato</v>
      </c>
      <c r="H9" s="12">
        <v>44000</v>
      </c>
      <c r="I9" t="str">
        <v>Load</v>
      </c>
      <c r="J9" t="str">
        <v xml:space="preserve">At Berth. </v>
      </c>
    </row>
    <row r="10" spans="1:10" x14ac:dyDescent="0.2">
      <c r="A10" s="39" t="str">
        <v/>
      </c>
      <c r="B10" t="str">
        <v>Graig Cardiff</v>
      </c>
      <c r="C10" s="15">
        <v>43112</v>
      </c>
      <c r="D10" s="17">
        <v>43117.5</v>
      </c>
      <c r="E10" s="17">
        <v>43122.5</v>
      </c>
      <c r="F10" s="17">
        <v>43122.5</v>
      </c>
      <c r="G10" t="str">
        <v>Fertilizer</v>
      </c>
      <c r="H10" s="12">
        <v>11550</v>
      </c>
      <c r="I10" t="str">
        <v>Discharge</v>
      </c>
      <c r="J10" t="str">
        <v/>
      </c>
    </row>
    <row r="11" spans="1:10" x14ac:dyDescent="0.2">
      <c r="A11" s="39" t="str">
        <v/>
      </c>
      <c r="B11" t="str">
        <v>Hanze Genoa</v>
      </c>
      <c r="C11" s="15">
        <v>43122</v>
      </c>
      <c r="D11" s="17">
        <v>43122</v>
      </c>
      <c r="E11" s="17">
        <v>43124</v>
      </c>
      <c r="F11" s="17">
        <v>43124</v>
      </c>
      <c r="G11" t="str">
        <v>Alumina</v>
      </c>
      <c r="H11" s="12">
        <v>33000</v>
      </c>
      <c r="I11" t="str">
        <v>Load</v>
      </c>
      <c r="J11" t="str">
        <v/>
      </c>
    </row>
    <row r="12" spans="1:10" x14ac:dyDescent="0.2">
      <c r="A12" s="39" t="str">
        <v/>
      </c>
      <c r="B12" t="str">
        <v>V Due</v>
      </c>
      <c r="C12" s="15">
        <v>43122</v>
      </c>
      <c r="D12" s="17">
        <v>43124</v>
      </c>
      <c r="E12" s="17">
        <v>43127</v>
      </c>
      <c r="F12" s="17">
        <v>43127</v>
      </c>
      <c r="G12" t="str">
        <v>Alumina</v>
      </c>
      <c r="H12" s="12">
        <v>35000</v>
      </c>
      <c r="I12" t="str">
        <v>Load</v>
      </c>
      <c r="J12" t="str">
        <v/>
      </c>
    </row>
    <row r="13" spans="1:10" x14ac:dyDescent="0.2">
      <c r="A13" s="39" t="str">
        <v/>
      </c>
      <c r="B13" t="str">
        <v>Kujawy</v>
      </c>
      <c r="C13" s="15">
        <v>43124</v>
      </c>
      <c r="D13" s="17">
        <v>43127</v>
      </c>
      <c r="E13" s="17">
        <v>43129</v>
      </c>
      <c r="F13" s="17">
        <v>43129</v>
      </c>
      <c r="G13" t="str">
        <v>Alumina</v>
      </c>
      <c r="H13" s="12">
        <v>35000</v>
      </c>
      <c r="I13" t="str">
        <v>Load</v>
      </c>
      <c r="J13" t="str">
        <v/>
      </c>
    </row>
    <row r="14" spans="1:10" x14ac:dyDescent="0.2">
      <c r="A14" s="39" t="str">
        <v/>
      </c>
      <c r="B14" t="str">
        <v>Bulk Destiny</v>
      </c>
      <c r="C14" s="15">
        <v>43132</v>
      </c>
      <c r="D14" s="17">
        <v>43132</v>
      </c>
      <c r="E14" s="17">
        <v>43135</v>
      </c>
      <c r="F14" s="17">
        <v>43135</v>
      </c>
      <c r="G14" t="str">
        <v>Alumina</v>
      </c>
      <c r="H14" s="12">
        <v>50000</v>
      </c>
      <c r="I14" t="str">
        <v>Load</v>
      </c>
      <c r="J14" t="str">
        <v/>
      </c>
    </row>
    <row r="15" spans="1:10" x14ac:dyDescent="0.2">
      <c r="A15" s="39" t="str">
        <v/>
      </c>
      <c r="B15" t="str">
        <v>Port Botany</v>
      </c>
      <c r="C15" s="15">
        <v>43156</v>
      </c>
      <c r="D15" s="17">
        <v>43156</v>
      </c>
      <c r="E15" s="17">
        <v>43159</v>
      </c>
      <c r="F15" s="17">
        <v>43159</v>
      </c>
      <c r="G15" t="str">
        <v>Piche</v>
      </c>
      <c r="H15" s="12">
        <v>7000</v>
      </c>
      <c r="I15" t="str">
        <v>Discharge</v>
      </c>
      <c r="J15" t="str">
        <v/>
      </c>
    </row>
    <row r="16" spans="1:10" x14ac:dyDescent="0.2">
      <c r="A16" s="39">
        <v>201</v>
      </c>
      <c r="B16" t="str">
        <v>Kellett Island</v>
      </c>
      <c r="C16" s="15">
        <v>43114</v>
      </c>
      <c r="D16" s="17">
        <v>43115</v>
      </c>
      <c r="E16" s="17">
        <v>43119</v>
      </c>
      <c r="F16" s="17">
        <v>43119</v>
      </c>
      <c r="G16" t="str">
        <v>Alumina</v>
      </c>
      <c r="H16" s="12">
        <v>5000</v>
      </c>
      <c r="I16" t="str">
        <v>Load</v>
      </c>
      <c r="J16" t="str">
        <v xml:space="preserve">At Berth. </v>
      </c>
    </row>
    <row r="17" spans="1:10" x14ac:dyDescent="0.2">
      <c r="A17" s="39" t="str">
        <v/>
      </c>
      <c r="B17" t="str">
        <v>Amstelborg</v>
      </c>
      <c r="C17" s="15">
        <v>43111</v>
      </c>
      <c r="D17" s="17">
        <v>43119</v>
      </c>
      <c r="E17" s="17">
        <v>43121</v>
      </c>
      <c r="F17" s="17">
        <v>43121</v>
      </c>
      <c r="G17" t="str">
        <v>Petcoke</v>
      </c>
      <c r="H17" s="12">
        <v>15000</v>
      </c>
      <c r="I17" t="str">
        <v>Discharge</v>
      </c>
      <c r="J17" t="str">
        <v/>
      </c>
    </row>
    <row r="18" spans="1:10" x14ac:dyDescent="0.2">
      <c r="A18" s="39" t="str">
        <v/>
      </c>
      <c r="B18" t="str">
        <v>Warmia</v>
      </c>
      <c r="C18" s="15">
        <v>43121</v>
      </c>
      <c r="D18" s="17">
        <v>43121</v>
      </c>
      <c r="E18" s="17">
        <v>43123</v>
      </c>
      <c r="F18" s="17">
        <v>43123</v>
      </c>
      <c r="G18" t="str">
        <v>Alumina</v>
      </c>
      <c r="H18" s="12">
        <v>35000</v>
      </c>
      <c r="I18" t="str">
        <v>Load</v>
      </c>
      <c r="J18" t="str">
        <v/>
      </c>
    </row>
    <row r="19" spans="1:10" x14ac:dyDescent="0.2">
      <c r="A19" s="39" t="str">
        <v/>
      </c>
      <c r="B19" t="str">
        <v>Nord Montreal</v>
      </c>
      <c r="C19" s="15">
        <v>43124</v>
      </c>
      <c r="D19" s="17">
        <v>43124</v>
      </c>
      <c r="E19" s="17">
        <v>43126</v>
      </c>
      <c r="F19" s="17">
        <v>43126</v>
      </c>
      <c r="G19" t="str">
        <v>Alumina</v>
      </c>
      <c r="H19" s="12">
        <v>35000</v>
      </c>
      <c r="I19" t="str">
        <v>Load</v>
      </c>
      <c r="J19" t="str">
        <v/>
      </c>
    </row>
    <row r="20" spans="1:10" x14ac:dyDescent="0.2">
      <c r="A20" s="39" t="str">
        <v/>
      </c>
      <c r="B20" t="str">
        <v>Falmouth Bay</v>
      </c>
      <c r="C20" s="15">
        <v>43111</v>
      </c>
      <c r="D20" s="17">
        <v>43126</v>
      </c>
      <c r="E20" s="17">
        <v>43130</v>
      </c>
      <c r="F20" s="17">
        <v>43130</v>
      </c>
      <c r="G20" t="str">
        <v>Coal</v>
      </c>
      <c r="H20" s="12">
        <v>30200</v>
      </c>
      <c r="I20" t="str">
        <v>Discharge</v>
      </c>
      <c r="J20" t="str">
        <v/>
      </c>
    </row>
    <row r="21" spans="1:10" x14ac:dyDescent="0.2">
      <c r="A21" s="39" t="str">
        <v/>
      </c>
      <c r="B21" t="str">
        <v xml:space="preserve">Kociewie </v>
      </c>
      <c r="C21" s="15">
        <v>43130</v>
      </c>
      <c r="D21" s="17">
        <v>43130</v>
      </c>
      <c r="E21" s="17">
        <v>43132</v>
      </c>
      <c r="F21" s="17">
        <v>43132</v>
      </c>
      <c r="G21" t="str">
        <v>Alumina</v>
      </c>
      <c r="H21" s="12">
        <v>35000</v>
      </c>
      <c r="I21" t="str">
        <v>Load</v>
      </c>
      <c r="J21" t="str">
        <v/>
      </c>
    </row>
    <row r="22" spans="1:10" x14ac:dyDescent="0.2">
      <c r="A22" s="39" t="str">
        <v/>
      </c>
      <c r="B22" t="str">
        <v>Saga Odyssey</v>
      </c>
      <c r="C22" s="15">
        <v>43144</v>
      </c>
      <c r="D22" s="17">
        <v>43144</v>
      </c>
      <c r="E22" s="17">
        <v>43146</v>
      </c>
      <c r="F22" s="17">
        <v>43146</v>
      </c>
      <c r="G22" t="str">
        <v>Alumina</v>
      </c>
      <c r="H22" s="12">
        <v>13400</v>
      </c>
      <c r="I22" t="str">
        <v>Load</v>
      </c>
      <c r="J22" t="str">
        <v/>
      </c>
    </row>
    <row r="23" spans="1:10" x14ac:dyDescent="0.2">
      <c r="A23" s="39">
        <v>301</v>
      </c>
      <c r="B23" t="str">
        <v>Federal Imabari</v>
      </c>
      <c r="C23" s="15">
        <v>43094</v>
      </c>
      <c r="D23" s="17">
        <v>43113</v>
      </c>
      <c r="E23" s="17">
        <v>43117</v>
      </c>
      <c r="F23" s="17">
        <v>43117</v>
      </c>
      <c r="G23" t="str">
        <v>Fertilizer</v>
      </c>
      <c r="H23" s="12">
        <v>4070</v>
      </c>
      <c r="I23" t="str">
        <v>Discharge</v>
      </c>
      <c r="J23" t="str">
        <v xml:space="preserve">At Berth. </v>
      </c>
    </row>
    <row r="24" spans="1:10" x14ac:dyDescent="0.2">
      <c r="A24" s="39" t="str">
        <v/>
      </c>
      <c r="B24" t="str">
        <v>African Baza</v>
      </c>
      <c r="C24" s="15">
        <v>43094</v>
      </c>
      <c r="D24" s="17">
        <v>43117</v>
      </c>
      <c r="E24" s="17">
        <v>43121</v>
      </c>
      <c r="F24" s="17">
        <v>43121</v>
      </c>
      <c r="G24" t="str">
        <v>Coal</v>
      </c>
      <c r="H24" s="12">
        <v>25500</v>
      </c>
      <c r="I24" t="str">
        <v>Discharge</v>
      </c>
      <c r="J24" t="str">
        <v/>
      </c>
    </row>
    <row r="25" spans="1:10" x14ac:dyDescent="0.2">
      <c r="A25" s="39" t="str">
        <v/>
      </c>
      <c r="B25" t="str">
        <v>Seabee</v>
      </c>
      <c r="C25" s="15">
        <v>43098</v>
      </c>
      <c r="D25" s="17">
        <v>43121</v>
      </c>
      <c r="E25" s="17">
        <v>43125</v>
      </c>
      <c r="F25" s="17">
        <v>43125</v>
      </c>
      <c r="G25" t="str">
        <v>Fertilizer</v>
      </c>
      <c r="H25" s="12">
        <v>16200</v>
      </c>
      <c r="I25" t="str">
        <v>Discharge</v>
      </c>
      <c r="J25" t="str">
        <v/>
      </c>
    </row>
    <row r="26" spans="1:10" x14ac:dyDescent="0.2">
      <c r="A26" s="39" t="str">
        <v/>
      </c>
      <c r="B26" t="str">
        <v>Santa Johanna</v>
      </c>
      <c r="C26" s="15">
        <v>43106</v>
      </c>
      <c r="D26" s="17">
        <v>43125</v>
      </c>
      <c r="E26" s="17">
        <v>43130</v>
      </c>
      <c r="F26" s="17">
        <v>43130</v>
      </c>
      <c r="G26" t="str">
        <v>Fertilizer</v>
      </c>
      <c r="H26" s="12">
        <v>41250</v>
      </c>
      <c r="I26" t="str">
        <v>Discharge</v>
      </c>
      <c r="J26" t="str">
        <v/>
      </c>
    </row>
    <row r="27" spans="1:10" x14ac:dyDescent="0.2">
      <c r="A27" s="39" t="str">
        <v/>
      </c>
      <c r="B27" t="str">
        <v>Falcouth Bay</v>
      </c>
      <c r="C27" s="15">
        <v>43111</v>
      </c>
      <c r="D27" s="17">
        <v>43130</v>
      </c>
      <c r="E27" s="17">
        <v>43133</v>
      </c>
      <c r="F27" s="17">
        <v>43133</v>
      </c>
      <c r="G27" t="str">
        <v>Coal</v>
      </c>
      <c r="H27" s="12">
        <v>20150</v>
      </c>
      <c r="I27" t="str">
        <v>Discharge</v>
      </c>
      <c r="J27" t="str">
        <v/>
      </c>
    </row>
    <row r="28" spans="1:10" x14ac:dyDescent="0.2">
      <c r="A28" s="39" t="str">
        <v/>
      </c>
      <c r="B28" t="str">
        <v>Amstelborg</v>
      </c>
      <c r="C28" s="15">
        <v>43111</v>
      </c>
      <c r="D28" s="17">
        <v>43133</v>
      </c>
      <c r="E28" s="17">
        <v>43135</v>
      </c>
      <c r="F28" s="17">
        <v>43135</v>
      </c>
      <c r="G28" t="str">
        <v>Petcoke</v>
      </c>
      <c r="H28" s="12">
        <v>3000</v>
      </c>
      <c r="I28" t="str">
        <v>Discharge</v>
      </c>
      <c r="J28" t="str">
        <v/>
      </c>
    </row>
    <row r="29" spans="1:10" x14ac:dyDescent="0.2">
      <c r="A29" s="39" t="str">
        <v/>
      </c>
      <c r="B29" t="str">
        <v>Graig Cardiff</v>
      </c>
      <c r="C29" s="15">
        <v>43112</v>
      </c>
      <c r="D29" s="17">
        <v>43135</v>
      </c>
      <c r="E29" s="17">
        <v>43138</v>
      </c>
      <c r="F29" s="17">
        <v>43138</v>
      </c>
      <c r="G29" t="str">
        <v>Fertilizer</v>
      </c>
      <c r="H29" s="12">
        <v>5000</v>
      </c>
      <c r="I29" t="str">
        <v>Discharge</v>
      </c>
      <c r="J29" t="str">
        <v/>
      </c>
    </row>
    <row r="30" spans="1:10" x14ac:dyDescent="0.2">
      <c r="A30" s="39" t="str">
        <v/>
      </c>
      <c r="B30" t="str">
        <v>Ansah Amity</v>
      </c>
      <c r="C30" s="15">
        <v>43118</v>
      </c>
      <c r="D30" s="17">
        <v>43138</v>
      </c>
      <c r="E30" s="17">
        <v>43141</v>
      </c>
      <c r="F30" s="17">
        <v>43141</v>
      </c>
      <c r="G30" t="str">
        <v>Coke</v>
      </c>
      <c r="H30" s="12">
        <v>15000</v>
      </c>
      <c r="I30" t="str">
        <v>Discharge</v>
      </c>
      <c r="J30" t="str">
        <v/>
      </c>
    </row>
    <row r="31" spans="1:10" x14ac:dyDescent="0.2">
      <c r="A31" s="39" t="str">
        <v/>
      </c>
      <c r="B31" t="str">
        <v>Cielo di Jari</v>
      </c>
      <c r="C31" s="15">
        <v>43119</v>
      </c>
      <c r="D31" s="17">
        <v>43141</v>
      </c>
      <c r="E31" s="17">
        <v>43143</v>
      </c>
      <c r="F31" s="17">
        <v>43143</v>
      </c>
      <c r="G31" t="str">
        <v>Fertilizer</v>
      </c>
      <c r="H31" s="12">
        <v>11550</v>
      </c>
      <c r="I31" t="str">
        <v>Discharge</v>
      </c>
      <c r="J31" t="str">
        <v/>
      </c>
    </row>
    <row r="32" spans="1:10" x14ac:dyDescent="0.2">
      <c r="A32" s="39" t="str">
        <v/>
      </c>
      <c r="B32" t="str">
        <v>Aruna Ismail</v>
      </c>
      <c r="C32" s="15">
        <v>43120</v>
      </c>
      <c r="D32" s="17">
        <v>43143</v>
      </c>
      <c r="E32" s="17">
        <v>43148</v>
      </c>
      <c r="F32" s="17">
        <v>43148</v>
      </c>
      <c r="G32" t="str">
        <v>Manganese</v>
      </c>
      <c r="H32" s="12">
        <v>10000</v>
      </c>
      <c r="I32" t="str">
        <v>Load</v>
      </c>
      <c r="J32" t="str">
        <v/>
      </c>
    </row>
    <row r="33" spans="1:10" x14ac:dyDescent="0.2">
      <c r="A33" s="39" t="str">
        <v/>
      </c>
      <c r="B33" t="str">
        <v>Sea Athena</v>
      </c>
      <c r="C33" s="15">
        <v>43122</v>
      </c>
      <c r="D33" s="17">
        <v>43148</v>
      </c>
      <c r="E33" s="17">
        <v>43151</v>
      </c>
      <c r="F33" s="17">
        <v>43151</v>
      </c>
      <c r="G33" t="str">
        <v>Manganese</v>
      </c>
      <c r="H33" s="12">
        <v>17500</v>
      </c>
      <c r="I33" t="str">
        <v>Load</v>
      </c>
      <c r="J33" t="str">
        <v/>
      </c>
    </row>
    <row r="34" spans="1:10" x14ac:dyDescent="0.2">
      <c r="A34" s="39" t="str">
        <v/>
      </c>
      <c r="B34" t="str">
        <v>Zephyr Venture</v>
      </c>
      <c r="C34" s="15">
        <v>43128</v>
      </c>
      <c r="D34" s="17">
        <v>43151</v>
      </c>
      <c r="E34" s="17">
        <v>43154</v>
      </c>
      <c r="F34" s="17">
        <v>43154</v>
      </c>
      <c r="G34" t="str">
        <v>Fertilizer</v>
      </c>
      <c r="H34" s="12">
        <v>10000</v>
      </c>
      <c r="I34" t="str">
        <v>Discharge</v>
      </c>
      <c r="J34" t="str">
        <v/>
      </c>
    </row>
    <row r="35" spans="1:10" x14ac:dyDescent="0.2">
      <c r="A35" s="39">
        <v>401</v>
      </c>
      <c r="B35" t="str">
        <v>Bc Singapore</v>
      </c>
      <c r="C35" s="15">
        <v>43113</v>
      </c>
      <c r="D35" s="17">
        <v>43114</v>
      </c>
      <c r="E35" s="17">
        <v>43117</v>
      </c>
      <c r="F35" s="17">
        <v>43117</v>
      </c>
      <c r="G35" t="str">
        <v>Container</v>
      </c>
      <c r="H35" s="12">
        <v>250</v>
      </c>
      <c r="I35" t="str">
        <v>Load/Disch</v>
      </c>
      <c r="J35" t="str">
        <v xml:space="preserve">At Berth. </v>
      </c>
    </row>
    <row r="36" spans="1:10" x14ac:dyDescent="0.2">
      <c r="A36" s="39" t="str">
        <v/>
      </c>
      <c r="B36" t="str">
        <v>Diogo Garcia</v>
      </c>
      <c r="C36" s="15">
        <v>43115</v>
      </c>
      <c r="D36" s="17">
        <v>43117</v>
      </c>
      <c r="E36" s="17" t="str">
        <v/>
      </c>
      <c r="F36" s="17" t="str">
        <v/>
      </c>
      <c r="G36" t="str">
        <v>Container</v>
      </c>
      <c r="H36" s="12">
        <v>255</v>
      </c>
      <c r="I36" t="str">
        <v>Load/Disch</v>
      </c>
      <c r="J36" t="str">
        <v/>
      </c>
    </row>
    <row r="37" spans="1:10" x14ac:dyDescent="0.2">
      <c r="A37" s="39" t="str">
        <v/>
      </c>
      <c r="B37" t="str">
        <v>Margret Marajo</v>
      </c>
      <c r="C37" s="15">
        <v>43115</v>
      </c>
      <c r="D37" s="17" t="str">
        <v/>
      </c>
      <c r="E37" s="17" t="str">
        <v/>
      </c>
      <c r="F37" s="17" t="str">
        <v/>
      </c>
      <c r="G37" t="str">
        <v>Container</v>
      </c>
      <c r="H37" s="12">
        <v>250</v>
      </c>
      <c r="I37" t="str">
        <v>Load/Disch</v>
      </c>
      <c r="J37" t="str">
        <v/>
      </c>
    </row>
    <row r="38" spans="1:10" x14ac:dyDescent="0.2">
      <c r="A38" s="39" t="str">
        <v/>
      </c>
      <c r="B38" t="str">
        <v>MSC Alabama</v>
      </c>
      <c r="C38" s="15">
        <v>43116</v>
      </c>
      <c r="D38" s="17" t="str">
        <v/>
      </c>
      <c r="E38" s="17" t="str">
        <v/>
      </c>
      <c r="F38" s="17" t="str">
        <v/>
      </c>
      <c r="G38" t="str">
        <v>Container</v>
      </c>
      <c r="H38" s="12">
        <v>250</v>
      </c>
      <c r="I38" t="str">
        <v>Load/Disch</v>
      </c>
      <c r="J38" t="str">
        <v/>
      </c>
    </row>
    <row r="39" spans="1:10" x14ac:dyDescent="0.2">
      <c r="A39" s="39" t="str">
        <v/>
      </c>
      <c r="B39" t="str">
        <v>Bartolomeu Dias</v>
      </c>
      <c r="C39" s="15">
        <v>43118</v>
      </c>
      <c r="D39" s="17" t="str">
        <v/>
      </c>
      <c r="E39" s="17" t="str">
        <v/>
      </c>
      <c r="F39" s="17" t="str">
        <v/>
      </c>
      <c r="G39" t="str">
        <v>Container</v>
      </c>
      <c r="H39" s="12">
        <v>250</v>
      </c>
      <c r="I39" t="str">
        <v>Load/Disch</v>
      </c>
      <c r="J39" t="str">
        <v/>
      </c>
    </row>
    <row r="40" spans="1:10" x14ac:dyDescent="0.2">
      <c r="A40" s="39" t="str">
        <v/>
      </c>
      <c r="B40" t="str">
        <v>Pedro Alvares Cabral</v>
      </c>
      <c r="C40" s="15">
        <v>43120</v>
      </c>
      <c r="D40" s="17" t="str">
        <v/>
      </c>
      <c r="E40" s="17" t="str">
        <v/>
      </c>
      <c r="F40" s="17" t="str">
        <v/>
      </c>
      <c r="G40" t="str">
        <v>Container</v>
      </c>
      <c r="H40" s="12">
        <v>250</v>
      </c>
      <c r="I40" t="str">
        <v>Load/Disch</v>
      </c>
      <c r="J40" t="str">
        <v/>
      </c>
    </row>
    <row r="41" spans="1:10" x14ac:dyDescent="0.2">
      <c r="A41" s="39" t="str">
        <v/>
      </c>
      <c r="B41" t="str">
        <v>CMA CGM Sain Laurent</v>
      </c>
      <c r="C41" s="15">
        <v>43122</v>
      </c>
      <c r="D41" s="17" t="str">
        <v/>
      </c>
      <c r="E41" s="17" t="str">
        <v/>
      </c>
      <c r="F41" s="17" t="str">
        <v/>
      </c>
      <c r="G41" t="str">
        <v>Container</v>
      </c>
      <c r="H41" s="12">
        <v>250</v>
      </c>
      <c r="I41" t="str">
        <v>Load/Disch</v>
      </c>
      <c r="J41" t="str">
        <v/>
      </c>
    </row>
    <row r="42" spans="1:10" x14ac:dyDescent="0.2">
      <c r="A42" s="39" t="str">
        <v/>
      </c>
      <c r="B42" t="str">
        <v>MSC Korea</v>
      </c>
      <c r="C42" s="15">
        <v>43123</v>
      </c>
      <c r="D42" s="17" t="str">
        <v/>
      </c>
      <c r="E42" s="17" t="str">
        <v/>
      </c>
      <c r="F42" s="17" t="str">
        <v/>
      </c>
      <c r="G42" t="str">
        <v>Container</v>
      </c>
      <c r="H42" s="12">
        <v>250</v>
      </c>
      <c r="I42" t="str">
        <v>Load/Disch</v>
      </c>
      <c r="J42" t="str">
        <v/>
      </c>
    </row>
    <row r="43" spans="1:10" x14ac:dyDescent="0.2">
      <c r="A43" s="39" t="str">
        <v/>
      </c>
      <c r="B43" t="str">
        <v>BC Singapore</v>
      </c>
      <c r="C43" s="15">
        <v>43127</v>
      </c>
      <c r="D43" s="17">
        <v>43127</v>
      </c>
      <c r="E43" s="17">
        <v>43129</v>
      </c>
      <c r="F43" s="17">
        <v>43129</v>
      </c>
      <c r="G43" t="str">
        <v>Container</v>
      </c>
      <c r="H43" s="12">
        <v>250</v>
      </c>
      <c r="I43" t="str">
        <v>Load/Disch</v>
      </c>
      <c r="J43" t="str">
        <v/>
      </c>
    </row>
    <row r="44" spans="1:10" x14ac:dyDescent="0.2">
      <c r="A44" s="39" t="str">
        <v/>
      </c>
      <c r="B44" t="str">
        <v>CMA CGM Brazil</v>
      </c>
      <c r="C44" s="15">
        <v>43129</v>
      </c>
      <c r="D44" s="17">
        <v>43129</v>
      </c>
      <c r="E44" s="17">
        <v>43130</v>
      </c>
      <c r="F44" s="17">
        <v>43130</v>
      </c>
      <c r="G44" t="str">
        <v>Container</v>
      </c>
      <c r="H44" s="12">
        <v>250</v>
      </c>
      <c r="I44" t="str">
        <v>Load/Disch</v>
      </c>
      <c r="J44" t="str">
        <v/>
      </c>
    </row>
    <row r="45" spans="1:10" x14ac:dyDescent="0.2">
      <c r="A45" s="39" t="str">
        <v/>
      </c>
      <c r="B45" t="str">
        <v>AS Petulia</v>
      </c>
      <c r="C45" s="15">
        <v>43130</v>
      </c>
      <c r="D45" s="17">
        <v>43130</v>
      </c>
      <c r="E45" s="17">
        <v>43131</v>
      </c>
      <c r="F45" s="17">
        <v>43131</v>
      </c>
      <c r="G45" t="str">
        <v>Container</v>
      </c>
      <c r="H45" s="12">
        <v>250</v>
      </c>
      <c r="I45" t="str">
        <v>Load/Disch</v>
      </c>
      <c r="J45" t="str">
        <v/>
      </c>
    </row>
    <row r="46" spans="1:10" x14ac:dyDescent="0.2">
      <c r="A46" s="39" t="str">
        <v/>
      </c>
      <c r="B46" t="str">
        <v>Balsas Reicon</v>
      </c>
      <c r="C46" s="15">
        <v>43131</v>
      </c>
      <c r="D46" s="17">
        <v>43131</v>
      </c>
      <c r="E46" s="17" t="str">
        <v/>
      </c>
      <c r="F46" s="17" t="str">
        <v/>
      </c>
      <c r="G46" t="str">
        <v>Container</v>
      </c>
      <c r="H46" s="12">
        <v>102</v>
      </c>
      <c r="I46" t="str">
        <v>Load/Disch</v>
      </c>
      <c r="J46" t="str">
        <v xml:space="preserve">* Will come alongside within this berthing window. </v>
      </c>
    </row>
    <row r="47" spans="1:10" x14ac:dyDescent="0.2">
      <c r="A47" s="39" t="str">
        <v/>
      </c>
      <c r="B47" t="str">
        <v>Balsas Majonav</v>
      </c>
      <c r="C47" s="15">
        <v>43132</v>
      </c>
      <c r="D47" s="17">
        <v>43132</v>
      </c>
      <c r="E47" s="17" t="str">
        <v/>
      </c>
      <c r="F47" s="17" t="str">
        <v/>
      </c>
      <c r="G47" t="str">
        <v>Container</v>
      </c>
      <c r="H47" s="12" t="str">
        <v/>
      </c>
      <c r="I47" t="str">
        <v>Load/Disch</v>
      </c>
      <c r="J47" t="str">
        <v xml:space="preserve">* Will come alongside within this berthing window. </v>
      </c>
    </row>
    <row r="48" spans="1:10" x14ac:dyDescent="0.2">
      <c r="A48" s="39" t="str">
        <v/>
      </c>
      <c r="B48" t="str">
        <v>Balsas Chibatao</v>
      </c>
      <c r="C48" s="15">
        <v>43132</v>
      </c>
      <c r="D48" s="17">
        <v>43133</v>
      </c>
      <c r="E48" s="17" t="str">
        <v/>
      </c>
      <c r="F48" s="17" t="str">
        <v/>
      </c>
      <c r="G48" t="str">
        <v>Container</v>
      </c>
      <c r="H48" s="12" t="str">
        <v/>
      </c>
      <c r="I48" t="str">
        <v>Load/Disch</v>
      </c>
      <c r="J48" t="str">
        <v xml:space="preserve">* Will come alongside within this berthing window. </v>
      </c>
    </row>
    <row r="49" spans="1:10" x14ac:dyDescent="0.2">
      <c r="A49" s="39" t="str">
        <v/>
      </c>
      <c r="B49" t="str">
        <v>Jan de Solis</v>
      </c>
      <c r="C49" s="15">
        <v>43134</v>
      </c>
      <c r="D49" s="17">
        <v>43134</v>
      </c>
      <c r="E49" s="17">
        <v>43135</v>
      </c>
      <c r="F49" s="17">
        <v>43135</v>
      </c>
      <c r="G49" t="str">
        <v>Container</v>
      </c>
      <c r="H49" s="12">
        <v>250</v>
      </c>
      <c r="I49" t="str">
        <v>Load/Disch</v>
      </c>
      <c r="J49" t="str">
        <v/>
      </c>
    </row>
    <row r="50" spans="1:10" x14ac:dyDescent="0.2">
      <c r="A50" s="39" t="str">
        <v/>
      </c>
      <c r="B50" t="str">
        <v>Fernao de Magalhaes</v>
      </c>
      <c r="C50" s="15">
        <v>43135</v>
      </c>
      <c r="D50" s="17">
        <v>43135</v>
      </c>
      <c r="E50" s="17">
        <v>43136</v>
      </c>
      <c r="F50" s="17">
        <v>43136</v>
      </c>
      <c r="G50" t="str">
        <v>Container</v>
      </c>
      <c r="H50" s="12">
        <v>250</v>
      </c>
      <c r="I50" t="str">
        <v>Load/Disch</v>
      </c>
      <c r="J50" t="str">
        <v/>
      </c>
    </row>
    <row r="51" spans="1:10" x14ac:dyDescent="0.2">
      <c r="A51" s="39">
        <v>402</v>
      </c>
      <c r="B51" t="str">
        <v>Floretgracht</v>
      </c>
      <c r="C51" s="15">
        <v>43109</v>
      </c>
      <c r="D51" s="17">
        <v>43116</v>
      </c>
      <c r="E51" s="17">
        <v>43118</v>
      </c>
      <c r="F51" s="17">
        <v>43118</v>
      </c>
      <c r="G51" t="str">
        <v>Oil</v>
      </c>
      <c r="H51" s="12">
        <v>20000</v>
      </c>
      <c r="I51" t="str">
        <v>Discharge</v>
      </c>
      <c r="J51" t="str">
        <v xml:space="preserve">At Berth. </v>
      </c>
    </row>
    <row r="52" spans="1:10" x14ac:dyDescent="0.2">
      <c r="A52" s="39" t="str">
        <v/>
      </c>
      <c r="B52" t="str">
        <v>Aldelta</v>
      </c>
      <c r="C52" s="15">
        <v>43105</v>
      </c>
      <c r="D52" s="17">
        <v>43118</v>
      </c>
      <c r="E52" s="17">
        <v>43120</v>
      </c>
      <c r="F52" s="17">
        <v>43120</v>
      </c>
      <c r="G52" t="str">
        <v>Soda Ash</v>
      </c>
      <c r="H52" s="12">
        <v>55000</v>
      </c>
      <c r="I52" t="str">
        <v>Load</v>
      </c>
      <c r="J52" t="str">
        <v/>
      </c>
    </row>
    <row r="53" spans="1:10" x14ac:dyDescent="0.2">
      <c r="A53" s="39" t="str">
        <v/>
      </c>
      <c r="B53" t="str">
        <v>FM Spiridon</v>
      </c>
      <c r="C53" s="15">
        <v>43110</v>
      </c>
      <c r="D53" s="17">
        <v>43120</v>
      </c>
      <c r="E53" s="17">
        <v>43122</v>
      </c>
      <c r="F53" s="17">
        <v>43122</v>
      </c>
      <c r="G53" t="str">
        <v/>
      </c>
      <c r="H53" s="12" t="str">
        <v/>
      </c>
      <c r="I53" t="str">
        <v>Load</v>
      </c>
      <c r="J53" t="str">
        <v/>
      </c>
    </row>
    <row r="54" spans="1:10" x14ac:dyDescent="0.2">
      <c r="A54" s="39" t="str">
        <v/>
      </c>
      <c r="B54" t="str">
        <v>Amstelborg</v>
      </c>
      <c r="C54" s="15">
        <v>43111</v>
      </c>
      <c r="D54" s="17">
        <v>43122</v>
      </c>
      <c r="E54" s="17">
        <v>43124</v>
      </c>
      <c r="F54" s="17">
        <v>43124</v>
      </c>
      <c r="G54" t="str">
        <v/>
      </c>
      <c r="H54" s="12" t="str">
        <v/>
      </c>
      <c r="I54" t="str">
        <v>Load</v>
      </c>
      <c r="J54" t="str">
        <v/>
      </c>
    </row>
    <row r="55" spans="1:10" x14ac:dyDescent="0.2">
      <c r="A55" s="39" t="str">
        <v/>
      </c>
      <c r="B55" t="str">
        <v>Industrial Fighter</v>
      </c>
      <c r="C55" s="15">
        <v>43115</v>
      </c>
      <c r="D55" s="17">
        <v>43124</v>
      </c>
      <c r="E55" s="17">
        <v>43125</v>
      </c>
      <c r="F55" s="17">
        <v>43125</v>
      </c>
      <c r="G55" t="str">
        <v/>
      </c>
      <c r="H55" s="12" t="str">
        <v/>
      </c>
      <c r="I55" t="str">
        <v>Discharge</v>
      </c>
      <c r="J55" t="str">
        <v/>
      </c>
    </row>
    <row r="56" spans="1:10" x14ac:dyDescent="0.2">
      <c r="A56" s="39" t="str">
        <v/>
      </c>
      <c r="B56" t="str">
        <v>Chemstar Jewel</v>
      </c>
      <c r="C56" s="15">
        <v>43116</v>
      </c>
      <c r="D56" s="17">
        <v>43125</v>
      </c>
      <c r="E56" s="17">
        <v>43126</v>
      </c>
      <c r="F56" s="17">
        <v>43126</v>
      </c>
      <c r="G56" t="str">
        <v/>
      </c>
      <c r="H56" s="12" t="str">
        <v/>
      </c>
      <c r="I56" t="str">
        <v>Load</v>
      </c>
      <c r="J56" t="str">
        <v/>
      </c>
    </row>
    <row r="57" spans="1:10" x14ac:dyDescent="0.2">
      <c r="A57" s="39" t="str">
        <v/>
      </c>
      <c r="B57" t="str">
        <v>Balsas Reicon</v>
      </c>
      <c r="C57" s="15">
        <v>43129</v>
      </c>
      <c r="D57" s="17">
        <v>43129</v>
      </c>
      <c r="E57" s="17" t="str">
        <v/>
      </c>
      <c r="F57" s="17" t="str">
        <v/>
      </c>
      <c r="G57" t="str">
        <v/>
      </c>
      <c r="H57" s="12" t="str">
        <v/>
      </c>
      <c r="I57" t="str">
        <v>Load/Disch</v>
      </c>
      <c r="J57" t="str">
        <v xml:space="preserve">* Will come alongside within this berthing window. </v>
      </c>
    </row>
    <row r="58" spans="1:10" x14ac:dyDescent="0.2">
      <c r="A58" s="39">
        <v>501</v>
      </c>
      <c r="B58" t="str">
        <v>Arcturus</v>
      </c>
      <c r="C58" s="15">
        <v>43112</v>
      </c>
      <c r="D58" s="17">
        <v>43114</v>
      </c>
      <c r="E58" s="17">
        <v>43116</v>
      </c>
      <c r="F58" s="17">
        <v>43116</v>
      </c>
      <c r="G58" t="str">
        <v>Oil</v>
      </c>
      <c r="H58" s="12">
        <v>20000</v>
      </c>
      <c r="I58" t="str">
        <v>Discharge</v>
      </c>
      <c r="J58" t="str">
        <v/>
      </c>
    </row>
    <row r="59" spans="1:10" x14ac:dyDescent="0.2">
      <c r="A59" s="39" t="str">
        <v/>
      </c>
      <c r="B59" t="str">
        <v>Bangor</v>
      </c>
      <c r="C59" s="15">
        <v>43127</v>
      </c>
      <c r="D59" s="17">
        <v>43127</v>
      </c>
      <c r="E59" s="17">
        <v>43130</v>
      </c>
      <c r="F59" s="17">
        <v>43130</v>
      </c>
      <c r="G59" t="str">
        <v>Soda Ash</v>
      </c>
      <c r="H59" s="12">
        <v>55000</v>
      </c>
      <c r="I59" t="str">
        <v>Discharge</v>
      </c>
      <c r="J59" t="str">
        <v/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ED6C-0F8F-864F-BC4E-466E10E0CBA9}">
  <dimension ref="A1:BR9"/>
  <sheetViews>
    <sheetView workbookViewId="0">
      <selection activeCell="A2" sqref="A2:B2"/>
    </sheetView>
  </sheetViews>
  <sheetFormatPr baseColWidth="10" defaultColWidth="11" defaultRowHeight="16" x14ac:dyDescent="0.2"/>
  <cols>
    <col min="1" max="1" width="17.6640625" customWidth="1"/>
    <col min="2" max="2" width="14.33203125" style="1" customWidth="1"/>
    <col min="3" max="5" width="10.83203125" style="17"/>
    <col min="6" max="6" width="23.83203125" customWidth="1"/>
    <col min="7" max="7" width="22.1640625" style="9" customWidth="1"/>
    <col min="9" max="9" width="22.1640625" style="2" customWidth="1"/>
    <col min="10" max="10" width="17.6640625" customWidth="1"/>
    <col min="11" max="11" width="14.33203125" style="15" customWidth="1"/>
    <col min="12" max="14" width="10.83203125" style="17"/>
    <col min="15" max="15" width="23.83203125" customWidth="1"/>
    <col min="16" max="16" width="22.1640625" style="9" customWidth="1"/>
    <col min="18" max="18" width="22.1640625" style="2" customWidth="1"/>
    <col min="19" max="19" width="17.33203125" customWidth="1"/>
    <col min="20" max="20" width="17.6640625" style="24" customWidth="1"/>
    <col min="21" max="23" width="10.83203125" style="17"/>
    <col min="24" max="24" width="23.83203125" customWidth="1"/>
    <col min="25" max="25" width="22.1640625" style="22" customWidth="1"/>
    <col min="26" max="26" width="10.83203125"/>
    <col min="27" max="27" width="22.1640625" customWidth="1"/>
    <col min="28" max="28" width="17.6640625" customWidth="1"/>
    <col min="29" max="29" width="14.33203125" style="15" customWidth="1"/>
    <col min="30" max="32" width="10.83203125" style="17"/>
    <col min="33" max="33" width="23.83203125" customWidth="1"/>
    <col min="34" max="34" width="22.1640625" style="20" customWidth="1"/>
    <col min="35" max="35" width="10.83203125"/>
    <col min="36" max="36" width="22.1640625" customWidth="1"/>
    <col min="37" max="37" width="15.5" customWidth="1"/>
    <col min="38" max="38" width="14.33203125" style="15" customWidth="1"/>
    <col min="39" max="41" width="10.83203125" style="17"/>
    <col min="42" max="42" width="23.83203125" customWidth="1"/>
    <col min="43" max="43" width="22.1640625" style="20" customWidth="1"/>
    <col min="44" max="44" width="10.83203125"/>
    <col min="45" max="45" width="22.1640625" customWidth="1"/>
    <col min="46" max="46" width="17" customWidth="1"/>
    <col min="47" max="47" width="14.33203125" style="15" customWidth="1"/>
    <col min="48" max="53" width="10.83203125"/>
    <col min="54" max="54" width="22.1640625" customWidth="1"/>
    <col min="55" max="55" width="17.6640625" customWidth="1"/>
    <col min="56" max="56" width="14.33203125" style="15" customWidth="1"/>
    <col min="57" max="59" width="10.83203125" style="17"/>
    <col min="60" max="60" width="23.83203125" customWidth="1"/>
    <col min="61" max="61" width="22.1640625" style="20" customWidth="1"/>
    <col min="62" max="62" width="10.83203125"/>
    <col min="63" max="63" width="22.1640625" customWidth="1"/>
    <col min="64" max="64" width="17.6640625" customWidth="1"/>
    <col min="65" max="65" width="14.33203125" style="15" customWidth="1"/>
    <col min="66" max="68" width="10.83203125" style="17"/>
    <col min="69" max="69" width="23.83203125" customWidth="1"/>
    <col min="70" max="70" width="22.1640625" style="20" customWidth="1"/>
    <col min="71" max="71" width="10.83203125"/>
    <col min="72" max="72" width="22.1640625" customWidth="1"/>
    <col min="73" max="117" width="10.83203125"/>
  </cols>
  <sheetData>
    <row r="1" spans="1:70" x14ac:dyDescent="0.2">
      <c r="A1" s="3" t="s">
        <v>168</v>
      </c>
    </row>
    <row r="2" spans="1:70" x14ac:dyDescent="0.2">
      <c r="A2" s="35"/>
      <c r="B2" s="36"/>
    </row>
    <row r="3" spans="1:70" s="4" customFormat="1" x14ac:dyDescent="0.2">
      <c r="A3" s="4" t="s">
        <v>169</v>
      </c>
      <c r="C3" s="18"/>
      <c r="D3" s="18"/>
      <c r="E3" s="18"/>
      <c r="G3" s="10"/>
      <c r="I3" s="5"/>
      <c r="J3" s="4" t="s">
        <v>170</v>
      </c>
      <c r="K3" s="15"/>
      <c r="L3" s="18"/>
      <c r="M3" s="18"/>
      <c r="N3" s="18"/>
      <c r="P3" s="10"/>
      <c r="R3" s="5"/>
      <c r="S3" s="4" t="s">
        <v>171</v>
      </c>
      <c r="T3" s="24"/>
      <c r="U3" s="18"/>
      <c r="V3" s="18"/>
      <c r="W3" s="18"/>
      <c r="Y3" s="23"/>
      <c r="AC3" s="15"/>
      <c r="AD3" s="18"/>
      <c r="AE3" s="18"/>
      <c r="AF3" s="18"/>
      <c r="AH3" s="21"/>
      <c r="AL3" s="15"/>
      <c r="AM3" s="18"/>
      <c r="AN3" s="18"/>
      <c r="AO3" s="18"/>
      <c r="AQ3" s="21"/>
      <c r="AU3" s="15"/>
      <c r="BD3" s="15"/>
      <c r="BE3" s="18"/>
      <c r="BF3" s="18"/>
      <c r="BG3" s="18"/>
      <c r="BI3" s="21"/>
      <c r="BM3" s="15"/>
      <c r="BN3" s="18"/>
      <c r="BO3" s="18"/>
      <c r="BP3" s="18"/>
      <c r="BR3" s="21"/>
    </row>
    <row r="4" spans="1:70" s="3" customFormat="1" x14ac:dyDescent="0.2">
      <c r="A4" s="6" t="s">
        <v>13</v>
      </c>
      <c r="B4" s="7" t="s">
        <v>14</v>
      </c>
      <c r="C4" s="19" t="s">
        <v>15</v>
      </c>
      <c r="D4" s="19" t="s">
        <v>16</v>
      </c>
      <c r="E4" s="19" t="s">
        <v>17</v>
      </c>
      <c r="F4" s="6" t="s">
        <v>18</v>
      </c>
      <c r="G4" s="11" t="s">
        <v>19</v>
      </c>
      <c r="H4" s="6" t="s">
        <v>20</v>
      </c>
      <c r="I4" s="8" t="s">
        <v>21</v>
      </c>
      <c r="J4" s="6" t="s">
        <v>13</v>
      </c>
      <c r="K4" s="16" t="s">
        <v>14</v>
      </c>
      <c r="L4" s="19" t="s">
        <v>15</v>
      </c>
      <c r="M4" s="19" t="s">
        <v>16</v>
      </c>
      <c r="N4" s="19" t="s">
        <v>17</v>
      </c>
      <c r="O4" s="6" t="s">
        <v>18</v>
      </c>
      <c r="P4" s="11" t="s">
        <v>19</v>
      </c>
      <c r="Q4" s="6" t="s">
        <v>20</v>
      </c>
      <c r="R4" s="8" t="s">
        <v>21</v>
      </c>
      <c r="S4" s="6" t="s">
        <v>172</v>
      </c>
      <c r="T4" s="25" t="s">
        <v>173</v>
      </c>
      <c r="U4" s="48"/>
      <c r="V4" s="48"/>
      <c r="W4" s="48"/>
      <c r="Y4" s="23"/>
      <c r="AC4" s="50"/>
      <c r="AD4" s="48"/>
      <c r="AE4" s="48"/>
      <c r="AF4" s="48"/>
      <c r="AH4" s="49"/>
      <c r="AL4" s="50"/>
      <c r="AM4" s="48"/>
      <c r="AN4" s="48"/>
      <c r="AO4" s="48"/>
      <c r="AQ4" s="49"/>
      <c r="AU4" s="50"/>
      <c r="AV4" s="47"/>
      <c r="AW4" s="47"/>
      <c r="AX4" s="47"/>
      <c r="BD4" s="50"/>
      <c r="BE4" s="48"/>
      <c r="BF4" s="48"/>
      <c r="BG4" s="48"/>
      <c r="BI4" s="49"/>
      <c r="BM4" s="50"/>
      <c r="BN4" s="48"/>
      <c r="BO4" s="48"/>
      <c r="BP4" s="48"/>
      <c r="BR4" s="49"/>
    </row>
    <row r="5" spans="1:70" x14ac:dyDescent="0.2">
      <c r="A5" t="s">
        <v>174</v>
      </c>
      <c r="B5" s="15">
        <v>44440.875</v>
      </c>
      <c r="C5" s="17" t="s">
        <v>175</v>
      </c>
      <c r="D5" s="17" t="s">
        <v>176</v>
      </c>
      <c r="E5" s="17" t="s">
        <v>176</v>
      </c>
      <c r="F5" t="s">
        <v>177</v>
      </c>
      <c r="G5" s="9">
        <v>4500</v>
      </c>
      <c r="H5" t="s">
        <v>53</v>
      </c>
      <c r="I5" s="2" t="s">
        <v>25</v>
      </c>
      <c r="J5" t="s">
        <v>178</v>
      </c>
      <c r="K5" s="15">
        <v>45170.038194444445</v>
      </c>
      <c r="L5" s="17" t="s">
        <v>179</v>
      </c>
      <c r="O5" t="s">
        <v>180</v>
      </c>
      <c r="P5" s="9">
        <v>6650</v>
      </c>
      <c r="Q5" t="s">
        <v>62</v>
      </c>
      <c r="R5" s="2" t="s">
        <v>25</v>
      </c>
      <c r="S5" t="s">
        <v>177</v>
      </c>
      <c r="T5" s="24" t="s">
        <v>181</v>
      </c>
    </row>
    <row r="6" spans="1:70" x14ac:dyDescent="0.2">
      <c r="A6" t="s">
        <v>182</v>
      </c>
      <c r="B6" s="15">
        <v>45536.666666666664</v>
      </c>
      <c r="C6" s="17" t="s">
        <v>176</v>
      </c>
      <c r="D6" s="17" t="s">
        <v>183</v>
      </c>
      <c r="E6" s="17" t="s">
        <v>183</v>
      </c>
      <c r="F6" t="s">
        <v>177</v>
      </c>
      <c r="G6" s="9">
        <v>4500</v>
      </c>
      <c r="J6" t="s">
        <v>184</v>
      </c>
      <c r="K6" s="15">
        <v>45170.116666666669</v>
      </c>
      <c r="O6" t="s">
        <v>185</v>
      </c>
      <c r="P6" s="9">
        <v>8000</v>
      </c>
      <c r="Q6" t="s">
        <v>53</v>
      </c>
      <c r="S6" t="s">
        <v>186</v>
      </c>
      <c r="T6" s="24" t="s">
        <v>187</v>
      </c>
    </row>
    <row r="7" spans="1:70" x14ac:dyDescent="0.2">
      <c r="B7" s="15"/>
      <c r="J7" t="s">
        <v>188</v>
      </c>
      <c r="K7" s="15">
        <v>45170.458333333336</v>
      </c>
      <c r="O7" t="s">
        <v>189</v>
      </c>
      <c r="P7" s="9">
        <v>8000</v>
      </c>
      <c r="Q7" t="s">
        <v>53</v>
      </c>
      <c r="S7" t="s">
        <v>190</v>
      </c>
      <c r="T7" s="24" t="s">
        <v>187</v>
      </c>
    </row>
    <row r="8" spans="1:70" x14ac:dyDescent="0.2">
      <c r="B8" s="15"/>
      <c r="J8" t="s">
        <v>191</v>
      </c>
      <c r="K8" s="15">
        <v>45536.5</v>
      </c>
      <c r="O8" t="s">
        <v>185</v>
      </c>
      <c r="P8" s="9">
        <v>6000</v>
      </c>
      <c r="Q8" t="s">
        <v>53</v>
      </c>
      <c r="S8" t="s">
        <v>192</v>
      </c>
      <c r="T8" s="24" t="s">
        <v>193</v>
      </c>
    </row>
    <row r="9" spans="1:70" x14ac:dyDescent="0.2">
      <c r="B9" s="15"/>
      <c r="S9" t="s">
        <v>194</v>
      </c>
      <c r="T9" s="24" t="s">
        <v>187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BC34-EC6E-6543-B2FF-70B5203D4807}">
  <dimension ref="A1:J59"/>
  <sheetViews>
    <sheetView workbookViewId="0">
      <selection activeCell="A16" sqref="A16"/>
    </sheetView>
  </sheetViews>
  <sheetFormatPr baseColWidth="10" defaultColWidth="11" defaultRowHeight="16" x14ac:dyDescent="0.2"/>
  <cols>
    <col min="1" max="1" width="14.1640625" customWidth="1"/>
    <col min="2" max="2" width="19.83203125" customWidth="1"/>
    <col min="3" max="3" width="13.6640625" customWidth="1"/>
    <col min="7" max="7" width="22.83203125" bestFit="1" customWidth="1"/>
    <col min="8" max="8" width="21.5" bestFit="1" customWidth="1"/>
    <col min="10" max="10" width="21.83203125" customWidth="1"/>
  </cols>
  <sheetData>
    <row r="1" spans="1:10" x14ac:dyDescent="0.2">
      <c r="A1" s="3" t="s">
        <v>168</v>
      </c>
    </row>
    <row r="3" spans="1:10" x14ac:dyDescent="0.2">
      <c r="A3" s="3" t="str" cm="1">
        <f t="array" ref="A3:J14">_xlfn.LET(
    _xlpm.source,'Tank Pier'!A3:DD75,
    _xlpm.numberOfBlocks,QUOTIENT(COLUMNS(_xlpm.source),9),
    _xlpm.headers,_xlfn.HSTACK(
        "Berth",
        "Vessels Names",
        "ETA",
        "ETB",
        "ETC",
        "ETD",
        "Cargo",
        "Quantity",
        "Load/Disch",
        "Remarks"
    ),
    _xlpm.data,
    _xlfn.REDUCE(
        "",
        _xlfn.SEQUENCE(_xlpm.numberOfBlocks),
        _xlfn.LAMBDA(_xlpm.acc,_xlpm.n,
            _xlfn.LET(
                _xlpm.block,_xlfn.CHOOSECOLS(_xlpm.source,_xlfn.SEQUENCE(1,9,(_xlpm.n-1)*9+1)),
                _xlpm.berth,INDEX(_xlpm.block,1,1),
                _xlpm.vesselRange,_xlfn.DROP(_xlpm.block,2),
                _xlpm.vesselColumn,_xlfn.CHOOSECOLS(_xlpm.vesselRange,1),
                _xlpm.vesselCount,SUM(--(_xlpm.vesselColumn&lt;&gt;"")),
                IF(
                    _xlpm.berth="",
                    _xlpm.acc,
                    IF(
                        _xlpm.vesselCount=0,
                        _xlfn.VSTACK(
                            _xlpm.acc,
                            _xlfn.HSTACK(
                                _xlpm.berth,
                                "",
                                "",
                                "",
                                "",
                                "",
                                "",
                                "",
                                "",
                                ""
                            )
                        ),
                        _xlfn.LET(
                            _xlpm.vesselData,_xlfn._xlws.FILTER(
                                _xlpm.vesselRange,
                                _xlpm.vesselColumn&lt;&gt;""
                            ),
                            _xlpm.cleanData,IF(
                                _xlpm.vesselData="",
                                "",
                                _xlpm.vesselData
                            ),
                            _xlfn.VSTACK(
                                _xlpm.acc,
                                _xlfn.HSTACK(
                                    IF(
                                        _xlfn.SEQUENCE(ROWS(_xlpm.cleanData))=1,
                                        _xlpm.berth,
                                        ""
                                    ),
                                    _xlpm.cleanData
                                )
                            )
                        )
                    )
                )
            )
        )
    ),
    _xlfn.VSTACK(
        _xlpm.headers,
        _xlfn.DROP(_xlpm.data,1)
    )
)</f>
        <v>Berth</v>
      </c>
      <c r="B3" s="6" t="str">
        <v>Vessels Names</v>
      </c>
      <c r="C3" s="16" t="str">
        <v>ETA</v>
      </c>
      <c r="D3" s="38" t="str">
        <v>ETB</v>
      </c>
      <c r="E3" s="38" t="str">
        <v>ETC</v>
      </c>
      <c r="F3" s="38" t="str">
        <v>ETD</v>
      </c>
      <c r="G3" s="6" t="str">
        <v>Cargo</v>
      </c>
      <c r="H3" s="40" t="str">
        <v>Quantity</v>
      </c>
      <c r="I3" s="6" t="str">
        <v>Load/Disch</v>
      </c>
      <c r="J3" s="6" t="str">
        <v>Remarks</v>
      </c>
    </row>
    <row r="4" spans="1:10" x14ac:dyDescent="0.2">
      <c r="A4" s="39" t="str">
        <v>202 (Internal)</v>
      </c>
      <c r="B4" t="str">
        <v>Gurupa</v>
      </c>
      <c r="C4" s="15">
        <v>44440.875</v>
      </c>
      <c r="D4" s="37" t="str">
        <v>21 Sep PM</v>
      </c>
      <c r="E4" s="37" t="str">
        <v>25 Sep PM</v>
      </c>
      <c r="F4" s="37" t="str">
        <v>25 Sep PM</v>
      </c>
      <c r="G4" t="str">
        <v>GLP</v>
      </c>
      <c r="H4" s="12">
        <v>4500</v>
      </c>
      <c r="I4" t="str">
        <v>Discharge</v>
      </c>
      <c r="J4" t="str">
        <v xml:space="preserve">At Berth. </v>
      </c>
    </row>
    <row r="5" spans="1:10" x14ac:dyDescent="0.2">
      <c r="A5" s="39" t="str">
        <v/>
      </c>
      <c r="B5" t="str">
        <v>Grajau</v>
      </c>
      <c r="C5" s="15">
        <v>45536.666666666664</v>
      </c>
      <c r="D5" s="17" t="str">
        <v>25 Sep PM</v>
      </c>
      <c r="E5" s="17" t="str">
        <v>29 Sep PM</v>
      </c>
      <c r="F5" s="17" t="str">
        <v>29 Sep PM</v>
      </c>
      <c r="G5" t="str">
        <v>GLP</v>
      </c>
      <c r="H5" s="12">
        <v>4500</v>
      </c>
      <c r="I5" t="str">
        <v/>
      </c>
      <c r="J5" t="str">
        <v/>
      </c>
    </row>
    <row r="6" spans="1:10" x14ac:dyDescent="0.2">
      <c r="A6" s="39" t="str">
        <v>202 (External)</v>
      </c>
      <c r="B6" t="str">
        <v>Ocean Spirit</v>
      </c>
      <c r="C6" s="15">
        <v>45170.038194444445</v>
      </c>
      <c r="D6" s="17" t="str">
        <v>23 Sep AM</v>
      </c>
      <c r="E6" s="17" t="str">
        <v/>
      </c>
      <c r="F6" s="17" t="str">
        <v/>
      </c>
      <c r="G6" t="str">
        <v>Vegetable Oil</v>
      </c>
      <c r="H6" s="12">
        <v>6650</v>
      </c>
      <c r="I6" t="str">
        <v>Load</v>
      </c>
      <c r="J6" t="str">
        <v xml:space="preserve">At Berth. </v>
      </c>
    </row>
    <row r="7" spans="1:10" x14ac:dyDescent="0.2">
      <c r="A7" s="39" t="str">
        <v/>
      </c>
      <c r="B7" t="str">
        <v>Furuholmen</v>
      </c>
      <c r="C7" s="15">
        <v>45170.116666666669</v>
      </c>
      <c r="D7" s="17" t="str">
        <v/>
      </c>
      <c r="E7" s="17" t="str">
        <v/>
      </c>
      <c r="F7" s="17" t="str">
        <v/>
      </c>
      <c r="G7" t="str">
        <v>Ethanol</v>
      </c>
      <c r="H7" s="12">
        <v>8000</v>
      </c>
      <c r="I7" t="str">
        <v>Discharge</v>
      </c>
      <c r="J7" t="str">
        <v/>
      </c>
    </row>
    <row r="8" spans="1:10" x14ac:dyDescent="0.2">
      <c r="A8" s="39" t="str">
        <v/>
      </c>
      <c r="B8" t="str">
        <v>Laguna D</v>
      </c>
      <c r="C8" s="15">
        <v>45170.458333333336</v>
      </c>
      <c r="D8" s="17" t="str">
        <v/>
      </c>
      <c r="E8" s="17" t="str">
        <v/>
      </c>
      <c r="F8" s="17" t="str">
        <v/>
      </c>
      <c r="G8" t="str">
        <v>Palm Oil</v>
      </c>
      <c r="H8" s="12">
        <v>8000</v>
      </c>
      <c r="I8" t="str">
        <v>Discharge</v>
      </c>
      <c r="J8" t="str">
        <v/>
      </c>
    </row>
    <row r="9" spans="1:10" x14ac:dyDescent="0.2">
      <c r="A9" s="39" t="str">
        <v/>
      </c>
      <c r="B9" t="str">
        <v>Sterna Immportal</v>
      </c>
      <c r="C9" s="15">
        <v>45536.5</v>
      </c>
      <c r="D9" s="17" t="str">
        <v/>
      </c>
      <c r="E9" s="17" t="str">
        <v/>
      </c>
      <c r="F9" s="17" t="str">
        <v/>
      </c>
      <c r="G9" t="str">
        <v>Ethanol</v>
      </c>
      <c r="H9" s="12">
        <v>6000</v>
      </c>
      <c r="I9" t="str">
        <v>Discharge</v>
      </c>
      <c r="J9" t="str">
        <v/>
      </c>
    </row>
    <row r="10" spans="1:10" x14ac:dyDescent="0.2">
      <c r="A10" s="39" t="str">
        <v>Regras</v>
      </c>
      <c r="B10" t="str">
        <v>GLP</v>
      </c>
      <c r="C10" s="15" t="str">
        <v>Interno</v>
      </c>
      <c r="D10" s="17" t="str">
        <v/>
      </c>
      <c r="E10" s="17" t="str">
        <v/>
      </c>
      <c r="F10" s="17" t="str">
        <v/>
      </c>
      <c r="G10" t="str">
        <v/>
      </c>
      <c r="H10" s="12" t="str">
        <v/>
      </c>
      <c r="I10" t="str">
        <v/>
      </c>
      <c r="J10" t="str">
        <v/>
      </c>
    </row>
    <row r="11" spans="1:10" x14ac:dyDescent="0.2">
      <c r="A11" s="39" t="str">
        <v/>
      </c>
      <c r="B11" t="str">
        <v>QAV</v>
      </c>
      <c r="C11" s="15" t="str">
        <v>Depende (externo)</v>
      </c>
      <c r="D11" s="17" t="str">
        <v/>
      </c>
      <c r="E11" s="17" t="str">
        <v/>
      </c>
      <c r="F11" s="17" t="str">
        <v/>
      </c>
      <c r="G11" t="str">
        <v/>
      </c>
      <c r="H11" s="12" t="str">
        <v/>
      </c>
      <c r="I11" t="str">
        <v/>
      </c>
      <c r="J11" t="str">
        <v/>
      </c>
    </row>
    <row r="12" spans="1:10" x14ac:dyDescent="0.2">
      <c r="A12" s="39" t="str">
        <v/>
      </c>
      <c r="B12" t="str">
        <v>Diesel</v>
      </c>
      <c r="C12" s="15" t="str">
        <v>Depende (externo)</v>
      </c>
      <c r="D12" s="17" t="str">
        <v/>
      </c>
      <c r="E12" s="17" t="str">
        <v/>
      </c>
      <c r="F12" s="17" t="str">
        <v/>
      </c>
      <c r="G12" t="str">
        <v/>
      </c>
      <c r="H12" s="12" t="str">
        <v/>
      </c>
      <c r="I12" t="str">
        <v/>
      </c>
      <c r="J12" t="str">
        <v/>
      </c>
    </row>
    <row r="13" spans="1:10" x14ac:dyDescent="0.2">
      <c r="A13" s="39" t="str">
        <v/>
      </c>
      <c r="B13" t="str">
        <v>Petroleum</v>
      </c>
      <c r="C13" s="15" t="str">
        <v>Sempre Externo</v>
      </c>
      <c r="D13" s="17" t="str">
        <v/>
      </c>
      <c r="E13" s="17" t="str">
        <v/>
      </c>
      <c r="F13" s="17" t="str">
        <v/>
      </c>
      <c r="G13" t="str">
        <v/>
      </c>
      <c r="H13" s="12" t="str">
        <v/>
      </c>
      <c r="I13" t="str">
        <v/>
      </c>
      <c r="J13" t="str">
        <v/>
      </c>
    </row>
    <row r="14" spans="1:10" x14ac:dyDescent="0.2">
      <c r="A14" s="39" t="str">
        <v/>
      </c>
      <c r="B14" t="str">
        <v>Gasolina</v>
      </c>
      <c r="C14" s="15" t="str">
        <v>Depende (externo)</v>
      </c>
      <c r="D14" s="17" t="str">
        <v/>
      </c>
      <c r="E14" s="17" t="str">
        <v/>
      </c>
      <c r="F14" s="17" t="str">
        <v/>
      </c>
      <c r="G14" t="str">
        <v/>
      </c>
      <c r="H14" s="12" t="str">
        <v/>
      </c>
      <c r="I14" t="str">
        <v/>
      </c>
      <c r="J14" t="str">
        <v/>
      </c>
    </row>
    <row r="15" spans="1:10" x14ac:dyDescent="0.2">
      <c r="A15" s="39"/>
      <c r="C15" s="15"/>
      <c r="D15" s="17"/>
      <c r="E15" s="17"/>
      <c r="F15" s="17"/>
      <c r="H15" s="12"/>
    </row>
    <row r="16" spans="1:10" x14ac:dyDescent="0.2">
      <c r="A16" s="39"/>
      <c r="C16" s="15"/>
      <c r="D16" s="17"/>
      <c r="E16" s="17"/>
      <c r="F16" s="17"/>
      <c r="H16" s="12"/>
    </row>
    <row r="17" spans="1:8" x14ac:dyDescent="0.2">
      <c r="A17" s="39"/>
      <c r="C17" s="15"/>
      <c r="D17" s="17"/>
      <c r="E17" s="17"/>
      <c r="F17" s="17"/>
      <c r="H17" s="12"/>
    </row>
    <row r="18" spans="1:8" x14ac:dyDescent="0.2">
      <c r="A18" s="39"/>
      <c r="C18" s="15"/>
      <c r="D18" s="17"/>
      <c r="E18" s="17"/>
      <c r="F18" s="17"/>
      <c r="H18" s="12"/>
    </row>
    <row r="19" spans="1:8" x14ac:dyDescent="0.2">
      <c r="A19" s="39"/>
      <c r="C19" s="15"/>
      <c r="D19" s="17"/>
      <c r="E19" s="17"/>
      <c r="F19" s="17"/>
      <c r="H19" s="12"/>
    </row>
    <row r="20" spans="1:8" x14ac:dyDescent="0.2">
      <c r="A20" s="39"/>
      <c r="C20" s="15"/>
      <c r="D20" s="17"/>
      <c r="E20" s="17"/>
      <c r="F20" s="17"/>
      <c r="H20" s="12"/>
    </row>
    <row r="21" spans="1:8" x14ac:dyDescent="0.2">
      <c r="A21" s="39"/>
      <c r="C21" s="15"/>
      <c r="D21" s="17"/>
      <c r="E21" s="17"/>
      <c r="F21" s="17"/>
      <c r="H21" s="12"/>
    </row>
    <row r="22" spans="1:8" x14ac:dyDescent="0.2">
      <c r="A22" s="39"/>
      <c r="C22" s="15"/>
      <c r="D22" s="17"/>
      <c r="E22" s="17"/>
      <c r="F22" s="17"/>
      <c r="H22" s="12"/>
    </row>
    <row r="23" spans="1:8" x14ac:dyDescent="0.2">
      <c r="A23" s="39"/>
      <c r="C23" s="15"/>
      <c r="D23" s="17"/>
      <c r="E23" s="17"/>
      <c r="F23" s="17"/>
      <c r="H23" s="12"/>
    </row>
    <row r="24" spans="1:8" x14ac:dyDescent="0.2">
      <c r="A24" s="39"/>
      <c r="C24" s="15"/>
      <c r="D24" s="17"/>
      <c r="E24" s="17"/>
      <c r="F24" s="17"/>
      <c r="H24" s="12"/>
    </row>
    <row r="25" spans="1:8" x14ac:dyDescent="0.2">
      <c r="A25" s="39"/>
      <c r="C25" s="15"/>
      <c r="D25" s="17"/>
      <c r="E25" s="17"/>
      <c r="F25" s="17"/>
      <c r="H25" s="12"/>
    </row>
    <row r="26" spans="1:8" x14ac:dyDescent="0.2">
      <c r="A26" s="39"/>
      <c r="C26" s="15"/>
      <c r="D26" s="17"/>
      <c r="E26" s="17"/>
      <c r="F26" s="17"/>
      <c r="H26" s="12"/>
    </row>
    <row r="27" spans="1:8" x14ac:dyDescent="0.2">
      <c r="A27" s="39"/>
      <c r="C27" s="15"/>
      <c r="D27" s="17"/>
      <c r="E27" s="17"/>
      <c r="F27" s="17"/>
      <c r="H27" s="12"/>
    </row>
    <row r="28" spans="1:8" x14ac:dyDescent="0.2">
      <c r="A28" s="39"/>
      <c r="C28" s="15"/>
      <c r="D28" s="17"/>
      <c r="E28" s="17"/>
      <c r="F28" s="17"/>
      <c r="H28" s="12"/>
    </row>
    <row r="29" spans="1:8" x14ac:dyDescent="0.2">
      <c r="A29" s="39"/>
      <c r="C29" s="15"/>
      <c r="D29" s="17"/>
      <c r="E29" s="17"/>
      <c r="F29" s="17"/>
      <c r="H29" s="12"/>
    </row>
    <row r="30" spans="1:8" x14ac:dyDescent="0.2">
      <c r="A30" s="39"/>
      <c r="C30" s="15"/>
      <c r="D30" s="17"/>
      <c r="E30" s="17"/>
      <c r="F30" s="17"/>
      <c r="H30" s="12"/>
    </row>
    <row r="31" spans="1:8" x14ac:dyDescent="0.2">
      <c r="A31" s="39"/>
      <c r="C31" s="15"/>
      <c r="D31" s="17"/>
      <c r="E31" s="17"/>
      <c r="F31" s="17"/>
      <c r="H31" s="12"/>
    </row>
    <row r="32" spans="1:8" x14ac:dyDescent="0.2">
      <c r="A32" s="39"/>
      <c r="C32" s="15"/>
      <c r="D32" s="17"/>
      <c r="E32" s="17"/>
      <c r="F32" s="17"/>
      <c r="H32" s="12"/>
    </row>
    <row r="33" spans="1:8" x14ac:dyDescent="0.2">
      <c r="A33" s="39"/>
      <c r="C33" s="15"/>
      <c r="D33" s="17"/>
      <c r="E33" s="17"/>
      <c r="F33" s="17"/>
      <c r="H33" s="12"/>
    </row>
    <row r="34" spans="1:8" x14ac:dyDescent="0.2">
      <c r="A34" s="39"/>
      <c r="C34" s="15"/>
      <c r="D34" s="17"/>
      <c r="E34" s="17"/>
      <c r="F34" s="17"/>
      <c r="H34" s="12"/>
    </row>
    <row r="35" spans="1:8" x14ac:dyDescent="0.2">
      <c r="A35" s="39"/>
      <c r="C35" s="15"/>
      <c r="D35" s="17"/>
      <c r="E35" s="17"/>
      <c r="F35" s="17"/>
      <c r="H35" s="12"/>
    </row>
    <row r="36" spans="1:8" x14ac:dyDescent="0.2">
      <c r="A36" s="39"/>
      <c r="C36" s="15"/>
      <c r="D36" s="17"/>
      <c r="E36" s="17"/>
      <c r="F36" s="17"/>
      <c r="H36" s="12"/>
    </row>
    <row r="37" spans="1:8" x14ac:dyDescent="0.2">
      <c r="A37" s="39"/>
      <c r="C37" s="15"/>
      <c r="D37" s="17"/>
      <c r="E37" s="17"/>
      <c r="F37" s="17"/>
      <c r="H37" s="12"/>
    </row>
    <row r="38" spans="1:8" x14ac:dyDescent="0.2">
      <c r="A38" s="39"/>
      <c r="C38" s="15"/>
      <c r="D38" s="17"/>
      <c r="E38" s="17"/>
      <c r="F38" s="17"/>
      <c r="H38" s="12"/>
    </row>
    <row r="39" spans="1:8" x14ac:dyDescent="0.2">
      <c r="A39" s="39"/>
      <c r="C39" s="15"/>
      <c r="D39" s="17"/>
      <c r="E39" s="17"/>
      <c r="F39" s="17"/>
      <c r="H39" s="12"/>
    </row>
    <row r="40" spans="1:8" x14ac:dyDescent="0.2">
      <c r="A40" s="39"/>
      <c r="C40" s="15"/>
      <c r="D40" s="17"/>
      <c r="E40" s="17"/>
      <c r="F40" s="17"/>
      <c r="H40" s="12"/>
    </row>
    <row r="41" spans="1:8" x14ac:dyDescent="0.2">
      <c r="A41" s="39"/>
      <c r="C41" s="15"/>
      <c r="D41" s="17"/>
      <c r="E41" s="17"/>
      <c r="F41" s="17"/>
      <c r="H41" s="12"/>
    </row>
    <row r="42" spans="1:8" x14ac:dyDescent="0.2">
      <c r="A42" s="39"/>
      <c r="C42" s="15"/>
      <c r="D42" s="17"/>
      <c r="E42" s="17"/>
      <c r="F42" s="17"/>
      <c r="H42" s="12"/>
    </row>
    <row r="43" spans="1:8" x14ac:dyDescent="0.2">
      <c r="A43" s="39"/>
      <c r="C43" s="15"/>
      <c r="D43" s="17"/>
      <c r="E43" s="17"/>
      <c r="F43" s="17"/>
      <c r="H43" s="12"/>
    </row>
    <row r="44" spans="1:8" x14ac:dyDescent="0.2">
      <c r="A44" s="39"/>
      <c r="C44" s="15"/>
      <c r="D44" s="17"/>
      <c r="E44" s="17"/>
      <c r="F44" s="17"/>
      <c r="H44" s="12"/>
    </row>
    <row r="45" spans="1:8" x14ac:dyDescent="0.2">
      <c r="A45" s="39"/>
      <c r="C45" s="15"/>
      <c r="D45" s="17"/>
      <c r="E45" s="17"/>
      <c r="F45" s="17"/>
      <c r="H45" s="12"/>
    </row>
    <row r="46" spans="1:8" x14ac:dyDescent="0.2">
      <c r="A46" s="39"/>
      <c r="C46" s="15"/>
      <c r="D46" s="17"/>
      <c r="E46" s="17"/>
      <c r="F46" s="17"/>
      <c r="H46" s="12"/>
    </row>
    <row r="47" spans="1:8" x14ac:dyDescent="0.2">
      <c r="A47" s="39"/>
      <c r="C47" s="15"/>
      <c r="D47" s="17"/>
      <c r="E47" s="17"/>
      <c r="F47" s="17"/>
      <c r="H47" s="12"/>
    </row>
    <row r="48" spans="1:8" x14ac:dyDescent="0.2">
      <c r="A48" s="39"/>
      <c r="C48" s="15"/>
      <c r="D48" s="17"/>
      <c r="E48" s="17"/>
      <c r="F48" s="17"/>
      <c r="H48" s="12"/>
    </row>
    <row r="49" spans="1:8" x14ac:dyDescent="0.2">
      <c r="A49" s="39"/>
      <c r="C49" s="15"/>
      <c r="D49" s="17"/>
      <c r="E49" s="17"/>
      <c r="F49" s="17"/>
      <c r="H49" s="12"/>
    </row>
    <row r="50" spans="1:8" x14ac:dyDescent="0.2">
      <c r="A50" s="39"/>
      <c r="C50" s="15"/>
      <c r="D50" s="17"/>
      <c r="E50" s="17"/>
      <c r="F50" s="17"/>
      <c r="H50" s="12"/>
    </row>
    <row r="51" spans="1:8" x14ac:dyDescent="0.2">
      <c r="A51" s="39"/>
      <c r="C51" s="15"/>
      <c r="D51" s="17"/>
      <c r="E51" s="17"/>
      <c r="F51" s="17"/>
      <c r="H51" s="12"/>
    </row>
    <row r="52" spans="1:8" x14ac:dyDescent="0.2">
      <c r="A52" s="39"/>
      <c r="C52" s="15"/>
      <c r="D52" s="17"/>
      <c r="E52" s="17"/>
      <c r="F52" s="17"/>
      <c r="H52" s="12"/>
    </row>
    <row r="53" spans="1:8" x14ac:dyDescent="0.2">
      <c r="A53" s="39"/>
      <c r="C53" s="15"/>
      <c r="D53" s="17"/>
      <c r="E53" s="17"/>
      <c r="F53" s="17"/>
      <c r="H53" s="12"/>
    </row>
    <row r="54" spans="1:8" x14ac:dyDescent="0.2">
      <c r="A54" s="39"/>
      <c r="C54" s="15"/>
      <c r="D54" s="17"/>
      <c r="E54" s="17"/>
      <c r="F54" s="17"/>
      <c r="H54" s="12"/>
    </row>
    <row r="55" spans="1:8" x14ac:dyDescent="0.2">
      <c r="A55" s="39"/>
      <c r="C55" s="15"/>
      <c r="D55" s="17"/>
      <c r="E55" s="17"/>
      <c r="F55" s="17"/>
      <c r="H55" s="12"/>
    </row>
    <row r="56" spans="1:8" x14ac:dyDescent="0.2">
      <c r="A56" s="39"/>
      <c r="C56" s="15"/>
      <c r="D56" s="17"/>
      <c r="E56" s="17"/>
      <c r="F56" s="17"/>
      <c r="H56" s="12"/>
    </row>
    <row r="57" spans="1:8" x14ac:dyDescent="0.2">
      <c r="A57" s="39"/>
      <c r="C57" s="15"/>
      <c r="D57" s="17"/>
      <c r="E57" s="17"/>
      <c r="F57" s="17"/>
      <c r="H57" s="12"/>
    </row>
    <row r="58" spans="1:8" x14ac:dyDescent="0.2">
      <c r="A58" s="39"/>
      <c r="C58" s="15"/>
      <c r="D58" s="17"/>
      <c r="E58" s="17"/>
      <c r="F58" s="17"/>
      <c r="H58" s="12"/>
    </row>
    <row r="59" spans="1:8" x14ac:dyDescent="0.2">
      <c r="A59" s="39"/>
      <c r="C59" s="15"/>
      <c r="D59" s="17"/>
      <c r="E59" s="17"/>
      <c r="F59" s="17"/>
      <c r="H59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2B54-972F-204D-B322-20D1052190A3}">
  <dimension ref="A1:BR9"/>
  <sheetViews>
    <sheetView workbookViewId="0">
      <selection activeCell="B13" sqref="B13"/>
    </sheetView>
  </sheetViews>
  <sheetFormatPr baseColWidth="10" defaultColWidth="11" defaultRowHeight="16" x14ac:dyDescent="0.2"/>
  <cols>
    <col min="1" max="1" width="17.6640625" customWidth="1"/>
    <col min="2" max="2" width="14.33203125" style="1" customWidth="1"/>
    <col min="3" max="5" width="10.83203125" style="17"/>
    <col min="6" max="6" width="23.83203125" customWidth="1"/>
    <col min="7" max="7" width="22.1640625" style="9" customWidth="1"/>
    <col min="9" max="9" width="22.1640625" style="2" customWidth="1"/>
    <col min="10" max="10" width="17.6640625" customWidth="1"/>
    <col min="11" max="11" width="14.33203125" style="15" customWidth="1"/>
    <col min="12" max="14" width="10.83203125" style="17"/>
    <col min="15" max="15" width="23.83203125" customWidth="1"/>
    <col min="16" max="16" width="22.1640625" style="9" customWidth="1"/>
    <col min="18" max="18" width="22.1640625" style="2" customWidth="1"/>
    <col min="19" max="19" width="17.33203125" customWidth="1"/>
    <col min="20" max="20" width="14.33203125" style="15" customWidth="1"/>
    <col min="21" max="23" width="10.83203125" style="17"/>
    <col min="24" max="24" width="23.83203125" customWidth="1"/>
    <col min="25" max="25" width="22.1640625" style="12" customWidth="1"/>
    <col min="27" max="27" width="22.1640625" style="2" customWidth="1"/>
    <col min="28" max="28" width="17.6640625" customWidth="1"/>
    <col min="29" max="29" width="14.33203125" style="15" customWidth="1"/>
    <col min="30" max="32" width="10.83203125" style="17"/>
    <col min="33" max="33" width="23.83203125" customWidth="1"/>
    <col min="34" max="34" width="22.1640625" style="9" customWidth="1"/>
    <col min="36" max="36" width="22.1640625" style="2" customWidth="1"/>
    <col min="37" max="37" width="15.5" customWidth="1"/>
    <col min="38" max="38" width="14.33203125" style="15" customWidth="1"/>
    <col min="39" max="41" width="10.83203125" style="17"/>
    <col min="42" max="42" width="23.83203125" customWidth="1"/>
    <col min="43" max="43" width="22.1640625" style="20" customWidth="1"/>
    <col min="44" max="44" width="10.83203125"/>
    <col min="45" max="45" width="22.1640625" customWidth="1"/>
    <col min="46" max="46" width="17" customWidth="1"/>
    <col min="47" max="47" width="14.33203125" style="15" customWidth="1"/>
    <col min="48" max="53" width="10.83203125"/>
    <col min="54" max="54" width="22.1640625" customWidth="1"/>
    <col min="55" max="55" width="17.6640625" customWidth="1"/>
    <col min="56" max="56" width="14.33203125" style="15" customWidth="1"/>
    <col min="57" max="59" width="10.83203125" style="17"/>
    <col min="60" max="60" width="23.83203125" customWidth="1"/>
    <col min="61" max="61" width="22.1640625" style="20" customWidth="1"/>
    <col min="62" max="62" width="10.83203125"/>
    <col min="63" max="63" width="22.1640625" customWidth="1"/>
    <col min="64" max="64" width="17.6640625" customWidth="1"/>
    <col min="65" max="65" width="14.33203125" style="15" customWidth="1"/>
    <col min="66" max="68" width="10.83203125" style="17"/>
    <col min="69" max="69" width="23.83203125" customWidth="1"/>
    <col min="70" max="70" width="22.1640625" style="20" customWidth="1"/>
    <col min="71" max="71" width="10.83203125"/>
    <col min="72" max="72" width="22.1640625" customWidth="1"/>
    <col min="73" max="92" width="10.83203125"/>
  </cols>
  <sheetData>
    <row r="1" spans="1:70" x14ac:dyDescent="0.2">
      <c r="A1" s="3" t="s">
        <v>195</v>
      </c>
      <c r="S1" s="3" t="s">
        <v>196</v>
      </c>
    </row>
    <row r="2" spans="1:70" x14ac:dyDescent="0.2">
      <c r="A2" s="35"/>
      <c r="B2" s="36"/>
    </row>
    <row r="3" spans="1:70" s="4" customFormat="1" x14ac:dyDescent="0.2">
      <c r="A3" s="4">
        <v>3</v>
      </c>
      <c r="C3" s="18"/>
      <c r="D3" s="18"/>
      <c r="E3" s="18"/>
      <c r="G3" s="10"/>
      <c r="I3" s="5"/>
      <c r="J3" s="4">
        <v>6</v>
      </c>
      <c r="K3" s="15"/>
      <c r="L3" s="18"/>
      <c r="M3" s="18"/>
      <c r="N3" s="18"/>
      <c r="P3" s="10"/>
      <c r="R3" s="5"/>
      <c r="S3" s="4" t="s">
        <v>197</v>
      </c>
      <c r="T3" s="15"/>
      <c r="U3" s="18"/>
      <c r="V3" s="18"/>
      <c r="W3" s="18"/>
      <c r="Y3" s="13"/>
      <c r="AA3" s="5"/>
      <c r="AB3" s="4" t="s">
        <v>198</v>
      </c>
      <c r="AC3" s="15"/>
      <c r="AD3" s="18"/>
      <c r="AE3" s="18"/>
      <c r="AF3" s="18"/>
      <c r="AH3" s="10"/>
      <c r="AJ3" s="5"/>
      <c r="AL3" s="15"/>
      <c r="AM3" s="18"/>
      <c r="AN3" s="18"/>
      <c r="AO3" s="18"/>
      <c r="AQ3" s="21"/>
      <c r="AU3" s="15"/>
      <c r="BD3" s="15"/>
      <c r="BE3" s="18"/>
      <c r="BF3" s="18"/>
      <c r="BG3" s="18"/>
      <c r="BI3" s="21"/>
      <c r="BM3" s="15"/>
      <c r="BN3" s="18"/>
      <c r="BO3" s="18"/>
      <c r="BP3" s="18"/>
      <c r="BR3" s="21"/>
    </row>
    <row r="4" spans="1:70" s="3" customFormat="1" x14ac:dyDescent="0.2">
      <c r="A4" s="6" t="s">
        <v>13</v>
      </c>
      <c r="B4" s="7" t="s">
        <v>14</v>
      </c>
      <c r="C4" s="19" t="s">
        <v>15</v>
      </c>
      <c r="D4" s="19" t="s">
        <v>16</v>
      </c>
      <c r="E4" s="19" t="s">
        <v>17</v>
      </c>
      <c r="F4" s="6" t="s">
        <v>18</v>
      </c>
      <c r="G4" s="11" t="s">
        <v>19</v>
      </c>
      <c r="H4" s="6" t="s">
        <v>20</v>
      </c>
      <c r="I4" s="8" t="s">
        <v>21</v>
      </c>
      <c r="J4" s="6" t="s">
        <v>13</v>
      </c>
      <c r="K4" s="16" t="s">
        <v>14</v>
      </c>
      <c r="L4" s="19" t="s">
        <v>15</v>
      </c>
      <c r="M4" s="19" t="s">
        <v>16</v>
      </c>
      <c r="N4" s="19" t="s">
        <v>17</v>
      </c>
      <c r="O4" s="6" t="s">
        <v>18</v>
      </c>
      <c r="P4" s="11" t="s">
        <v>19</v>
      </c>
      <c r="Q4" s="6" t="s">
        <v>20</v>
      </c>
      <c r="R4" s="8" t="s">
        <v>21</v>
      </c>
      <c r="S4" s="6" t="s">
        <v>13</v>
      </c>
      <c r="T4" s="16" t="s">
        <v>14</v>
      </c>
      <c r="U4" s="19" t="s">
        <v>15</v>
      </c>
      <c r="V4" s="19" t="s">
        <v>16</v>
      </c>
      <c r="W4" s="19" t="s">
        <v>17</v>
      </c>
      <c r="X4" s="6" t="s">
        <v>18</v>
      </c>
      <c r="Y4" s="14" t="s">
        <v>19</v>
      </c>
      <c r="Z4" s="6" t="s">
        <v>20</v>
      </c>
      <c r="AA4" s="8" t="s">
        <v>21</v>
      </c>
      <c r="AB4" s="6" t="s">
        <v>13</v>
      </c>
      <c r="AC4" s="16" t="s">
        <v>14</v>
      </c>
      <c r="AD4" s="19" t="s">
        <v>15</v>
      </c>
      <c r="AE4" s="19" t="s">
        <v>16</v>
      </c>
      <c r="AF4" s="19" t="s">
        <v>17</v>
      </c>
      <c r="AG4" s="6" t="s">
        <v>18</v>
      </c>
      <c r="AH4" s="11" t="s">
        <v>19</v>
      </c>
      <c r="AI4" s="6" t="s">
        <v>20</v>
      </c>
      <c r="AJ4" s="8" t="s">
        <v>21</v>
      </c>
      <c r="AL4" s="50"/>
      <c r="AM4" s="48"/>
      <c r="AN4" s="48"/>
      <c r="AO4" s="48"/>
      <c r="AQ4" s="49"/>
      <c r="AU4" s="50"/>
      <c r="AV4" s="47"/>
      <c r="AW4" s="47"/>
      <c r="AX4" s="47"/>
      <c r="BD4" s="50"/>
      <c r="BE4" s="48"/>
      <c r="BF4" s="48"/>
      <c r="BG4" s="48"/>
      <c r="BI4" s="49"/>
      <c r="BM4" s="50"/>
      <c r="BN4" s="48"/>
      <c r="BO4" s="48"/>
      <c r="BP4" s="48"/>
      <c r="BR4" s="49"/>
    </row>
    <row r="5" spans="1:70" x14ac:dyDescent="0.2">
      <c r="A5" t="s">
        <v>199</v>
      </c>
      <c r="B5" s="15">
        <v>43117.5</v>
      </c>
      <c r="C5" s="17">
        <v>43118</v>
      </c>
      <c r="D5" s="17">
        <v>43123</v>
      </c>
      <c r="E5" s="17">
        <v>43123</v>
      </c>
      <c r="F5" t="s">
        <v>23</v>
      </c>
      <c r="G5" s="9">
        <v>12000</v>
      </c>
      <c r="H5" t="s">
        <v>53</v>
      </c>
      <c r="I5" s="2" t="s">
        <v>25</v>
      </c>
      <c r="J5" t="s">
        <v>200</v>
      </c>
      <c r="K5" s="15">
        <v>43118.5</v>
      </c>
      <c r="L5" s="17">
        <v>43118.5</v>
      </c>
      <c r="O5" t="s">
        <v>34</v>
      </c>
      <c r="P5" s="9" t="s">
        <v>28</v>
      </c>
      <c r="Q5" t="s">
        <v>28</v>
      </c>
      <c r="R5" s="2" t="s">
        <v>25</v>
      </c>
      <c r="S5" t="s">
        <v>201</v>
      </c>
      <c r="T5" s="15">
        <v>43117</v>
      </c>
      <c r="U5" s="17">
        <v>43117</v>
      </c>
      <c r="V5" s="17">
        <v>43118</v>
      </c>
      <c r="W5" s="17">
        <v>43118</v>
      </c>
      <c r="X5" t="s">
        <v>202</v>
      </c>
      <c r="Z5" t="s">
        <v>53</v>
      </c>
      <c r="AA5" s="2" t="s">
        <v>25</v>
      </c>
      <c r="AB5" t="s">
        <v>203</v>
      </c>
      <c r="AC5" s="15">
        <v>43115</v>
      </c>
      <c r="AD5" s="17">
        <v>43118</v>
      </c>
      <c r="AG5" t="s">
        <v>202</v>
      </c>
      <c r="AI5" t="s">
        <v>53</v>
      </c>
      <c r="AJ5" s="2" t="s">
        <v>25</v>
      </c>
    </row>
    <row r="6" spans="1:70" x14ac:dyDescent="0.2">
      <c r="A6" t="s">
        <v>204</v>
      </c>
      <c r="B6" s="15">
        <v>43126</v>
      </c>
      <c r="C6" s="17">
        <v>43126</v>
      </c>
      <c r="D6" s="17">
        <v>43129</v>
      </c>
      <c r="E6" s="17">
        <v>43129</v>
      </c>
      <c r="F6" t="s">
        <v>128</v>
      </c>
      <c r="G6" s="9">
        <v>6500</v>
      </c>
      <c r="H6" t="s">
        <v>53</v>
      </c>
      <c r="J6" t="s">
        <v>205</v>
      </c>
      <c r="K6" s="15">
        <v>43122</v>
      </c>
      <c r="L6" s="17">
        <v>43122</v>
      </c>
      <c r="O6" t="s">
        <v>34</v>
      </c>
      <c r="P6" s="9" t="s">
        <v>28</v>
      </c>
      <c r="Q6" t="s">
        <v>28</v>
      </c>
      <c r="S6" t="s">
        <v>206</v>
      </c>
      <c r="T6" s="15">
        <v>43121</v>
      </c>
      <c r="U6" s="17">
        <v>43121</v>
      </c>
      <c r="V6" s="17">
        <v>43126</v>
      </c>
      <c r="W6" s="17">
        <v>43126</v>
      </c>
      <c r="X6" t="s">
        <v>23</v>
      </c>
      <c r="Y6" s="12">
        <v>27000</v>
      </c>
      <c r="Z6" t="s">
        <v>53</v>
      </c>
      <c r="AB6" t="s">
        <v>207</v>
      </c>
      <c r="AC6" s="15">
        <v>43119</v>
      </c>
      <c r="AD6" s="17">
        <v>43119</v>
      </c>
      <c r="AE6" s="17">
        <v>43121</v>
      </c>
      <c r="AF6" s="17">
        <v>43121</v>
      </c>
      <c r="AG6" t="s">
        <v>208</v>
      </c>
      <c r="AH6" s="9">
        <v>5000</v>
      </c>
      <c r="AI6" t="s">
        <v>62</v>
      </c>
    </row>
    <row r="7" spans="1:70" x14ac:dyDescent="0.2">
      <c r="A7" t="s">
        <v>209</v>
      </c>
      <c r="B7" s="15">
        <v>43139</v>
      </c>
      <c r="C7" s="17">
        <v>43139</v>
      </c>
      <c r="D7" s="17">
        <v>43141</v>
      </c>
      <c r="E7" s="17">
        <v>43141</v>
      </c>
      <c r="F7" t="s">
        <v>128</v>
      </c>
      <c r="G7" s="9">
        <v>7100</v>
      </c>
      <c r="H7" t="s">
        <v>53</v>
      </c>
      <c r="S7" t="s">
        <v>210</v>
      </c>
      <c r="T7" s="15">
        <v>43129</v>
      </c>
      <c r="U7" s="17">
        <v>43129</v>
      </c>
      <c r="X7" t="s">
        <v>202</v>
      </c>
      <c r="Z7" t="s">
        <v>53</v>
      </c>
      <c r="AB7" t="s">
        <v>211</v>
      </c>
      <c r="AC7" s="15">
        <v>43122</v>
      </c>
      <c r="AD7" s="17">
        <v>43122</v>
      </c>
      <c r="AE7" s="17">
        <v>43131</v>
      </c>
      <c r="AF7" s="17">
        <v>43131</v>
      </c>
      <c r="AG7" t="s">
        <v>212</v>
      </c>
      <c r="AH7" s="9">
        <v>57000</v>
      </c>
      <c r="AI7" t="s">
        <v>53</v>
      </c>
    </row>
    <row r="8" spans="1:70" x14ac:dyDescent="0.2">
      <c r="B8" s="15"/>
      <c r="S8" t="s">
        <v>143</v>
      </c>
      <c r="T8" s="15">
        <v>43130</v>
      </c>
      <c r="U8" s="17">
        <v>43130</v>
      </c>
      <c r="X8" t="s">
        <v>213</v>
      </c>
      <c r="Y8" s="12">
        <v>100</v>
      </c>
      <c r="Z8" t="s">
        <v>53</v>
      </c>
    </row>
    <row r="9" spans="1:70" x14ac:dyDescent="0.2">
      <c r="B9" s="15"/>
      <c r="S9" t="s">
        <v>214</v>
      </c>
      <c r="T9" s="15">
        <v>43134</v>
      </c>
      <c r="U9" s="17">
        <v>43134</v>
      </c>
      <c r="X9" t="s">
        <v>202</v>
      </c>
      <c r="Z9" t="s">
        <v>53</v>
      </c>
    </row>
  </sheetData>
  <pageMargins left="0.25" right="0.25" top="0.75" bottom="0.75" header="0.3" footer="0.3"/>
  <pageSetup paperSize="9" scale="90" fitToWidth="0" fitToHeight="0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AFDE-79E2-8548-B447-8B11D1F949FC}">
  <dimension ref="A3:J59"/>
  <sheetViews>
    <sheetView workbookViewId="0">
      <selection activeCell="H40" sqref="H40"/>
    </sheetView>
  </sheetViews>
  <sheetFormatPr baseColWidth="10" defaultColWidth="11" defaultRowHeight="16" x14ac:dyDescent="0.2"/>
  <cols>
    <col min="1" max="1" width="10.83203125" style="26"/>
    <col min="2" max="2" width="19.83203125" customWidth="1"/>
    <col min="3" max="3" width="13.6640625" customWidth="1"/>
    <col min="7" max="7" width="22.83203125" bestFit="1" customWidth="1"/>
    <col min="8" max="8" width="21.5" bestFit="1" customWidth="1"/>
    <col min="10" max="10" width="21.83203125" customWidth="1"/>
  </cols>
  <sheetData>
    <row r="3" spans="1:10" x14ac:dyDescent="0.2">
      <c r="A3" s="4" t="str" cm="1">
        <f t="array" ref="A3:J16">_xlfn.LET(
    _xlpm.source,PE!A3:DD75,
    _xlpm.numberOfBlocks,QUOTIENT(COLUMNS(_xlpm.source),9),
    _xlpm.headers,_xlfn.HSTACK(
        "Berth",
        "Vessels Names",
        "ETA",
        "ETB",
        "ETC",
        "ETD",
        "Cargo",
        "Quantity",
        "Load/Disch",
        "Remarks"
    ),
    _xlpm.data,
    _xlfn.REDUCE(
        "",
        _xlfn.SEQUENCE(_xlpm.numberOfBlocks),
        _xlfn.LAMBDA(_xlpm.acc,_xlpm.n,
            _xlfn.LET(
                _xlpm.block,_xlfn.CHOOSECOLS(_xlpm.source,_xlfn.SEQUENCE(1,9,(_xlpm.n-1)*9+1)),
                _xlpm.berth,INDEX(_xlpm.block,1,1),
                _xlpm.vesselRange,_xlfn.DROP(_xlpm.block,2),
                _xlpm.vesselColumn,_xlfn.CHOOSECOLS(_xlpm.vesselRange,1),
                _xlpm.vesselCount,SUM(--(_xlpm.vesselColumn&lt;&gt;"")),
                IF(
                    _xlpm.berth="",
                    _xlpm.acc,
                    IF(
                        _xlpm.vesselCount=0,
                        _xlfn.VSTACK(
                            _xlpm.acc,
                            _xlfn.HSTACK(
                                _xlpm.berth,
                                "",
                                "",
                                "",
                                "",
                                "",
                                "",
                                "",
                                "",
                                ""
                            )
                        ),
                        _xlfn.LET(
                            _xlpm.vesselData,_xlfn._xlws.FILTER(
                                _xlpm.vesselRange,
                                _xlpm.vesselColumn&lt;&gt;""
                            ),
                            _xlpm.cleanData,IF(
                                _xlpm.vesselData="",
                                "",
                                _xlpm.vesselData
                            ),
                            _xlfn.VSTACK(
                                _xlpm.acc,
                                _xlfn.HSTACK(
                                    IF(
                                        _xlfn.SEQUENCE(ROWS(_xlpm.cleanData))=1,
                                        _xlpm.berth,
                                        ""
                                    ),
                                    _xlpm.cleanData
                                )
                            )
                        )
                    )
                )
            )
        )
    ),
    _xlfn.VSTACK(
        _xlpm.headers,
        _xlfn.DROP(_xlpm.data,1)
    )
)</f>
        <v>Berth</v>
      </c>
      <c r="B3" s="6" t="str">
        <v>Vessels Names</v>
      </c>
      <c r="C3" s="16" t="str">
        <v>ETA</v>
      </c>
      <c r="D3" s="38" t="str">
        <v>ETB</v>
      </c>
      <c r="E3" s="38" t="str">
        <v>ETC</v>
      </c>
      <c r="F3" s="38" t="str">
        <v>ETD</v>
      </c>
      <c r="G3" s="6" t="str">
        <v>Cargo</v>
      </c>
      <c r="H3" s="40" t="str">
        <v>Quantity</v>
      </c>
      <c r="I3" s="6" t="str">
        <v>Load/Disch</v>
      </c>
      <c r="J3" s="6" t="str">
        <v>Remarks</v>
      </c>
    </row>
    <row r="4" spans="1:10" x14ac:dyDescent="0.2">
      <c r="A4" s="5">
        <v>3</v>
      </c>
      <c r="B4" t="str">
        <v>Benjamas Naree</v>
      </c>
      <c r="C4" s="15">
        <v>43117.5</v>
      </c>
      <c r="D4" s="37">
        <v>43118</v>
      </c>
      <c r="E4" s="37">
        <v>43123</v>
      </c>
      <c r="F4" s="37">
        <v>43123</v>
      </c>
      <c r="G4" t="str">
        <v>Wheat</v>
      </c>
      <c r="H4" s="12">
        <v>12000</v>
      </c>
      <c r="I4" t="str">
        <v>Discharge</v>
      </c>
      <c r="J4" t="str">
        <v xml:space="preserve">At Berth. </v>
      </c>
    </row>
    <row r="5" spans="1:10" x14ac:dyDescent="0.2">
      <c r="A5" s="5" t="str">
        <v/>
      </c>
      <c r="B5" t="str">
        <v>Start Dalmatia</v>
      </c>
      <c r="C5" s="15">
        <v>43126</v>
      </c>
      <c r="D5" s="17">
        <v>43126</v>
      </c>
      <c r="E5" s="17">
        <v>43129</v>
      </c>
      <c r="F5" s="17">
        <v>43129</v>
      </c>
      <c r="G5" t="str">
        <v>Soda Ash</v>
      </c>
      <c r="H5" s="12">
        <v>6500</v>
      </c>
      <c r="I5" t="str">
        <v>Discharge</v>
      </c>
      <c r="J5" t="str">
        <v/>
      </c>
    </row>
    <row r="6" spans="1:10" x14ac:dyDescent="0.2">
      <c r="A6" s="5" t="str">
        <v/>
      </c>
      <c r="B6" t="str">
        <v>Naning</v>
      </c>
      <c r="C6" s="15">
        <v>43139</v>
      </c>
      <c r="D6" s="17">
        <v>43139</v>
      </c>
      <c r="E6" s="17">
        <v>43141</v>
      </c>
      <c r="F6" s="17">
        <v>43141</v>
      </c>
      <c r="G6" t="str">
        <v>Soda Ash</v>
      </c>
      <c r="H6" s="12">
        <v>7100</v>
      </c>
      <c r="I6" t="str">
        <v>Discharge</v>
      </c>
      <c r="J6" t="str">
        <v/>
      </c>
    </row>
    <row r="7" spans="1:10" x14ac:dyDescent="0.2">
      <c r="A7" s="5">
        <v>6</v>
      </c>
      <c r="B7" t="str">
        <v>Seabourn Sojourn</v>
      </c>
      <c r="C7" s="15">
        <v>43118.5</v>
      </c>
      <c r="D7" s="17">
        <v>43118.5</v>
      </c>
      <c r="E7" s="17" t="str">
        <v/>
      </c>
      <c r="F7" s="17" t="str">
        <v/>
      </c>
      <c r="G7" t="str">
        <v>Cruise Ship</v>
      </c>
      <c r="H7" s="12" t="str">
        <v>-</v>
      </c>
      <c r="I7" t="str">
        <v>-</v>
      </c>
      <c r="J7" t="str">
        <v xml:space="preserve">At Berth. </v>
      </c>
    </row>
    <row r="8" spans="1:10" x14ac:dyDescent="0.2">
      <c r="A8" s="5" t="str">
        <v/>
      </c>
      <c r="B8" t="str">
        <v>Insignia</v>
      </c>
      <c r="C8" s="15">
        <v>43122</v>
      </c>
      <c r="D8" s="17">
        <v>43122</v>
      </c>
      <c r="E8" s="17" t="str">
        <v/>
      </c>
      <c r="F8" s="17" t="str">
        <v/>
      </c>
      <c r="G8" t="str">
        <v>Cruise Ship</v>
      </c>
      <c r="H8" s="12" t="str">
        <v>-</v>
      </c>
      <c r="I8" t="str">
        <v>-</v>
      </c>
      <c r="J8" t="str">
        <v/>
      </c>
    </row>
    <row r="9" spans="1:10" x14ac:dyDescent="0.2">
      <c r="A9" s="5" t="str">
        <v>PIB 4</v>
      </c>
      <c r="B9" t="str">
        <v>Diamond Highway</v>
      </c>
      <c r="C9" s="15">
        <v>43117</v>
      </c>
      <c r="D9" s="17">
        <v>43117</v>
      </c>
      <c r="E9" s="17">
        <v>43118</v>
      </c>
      <c r="F9" s="17">
        <v>43118</v>
      </c>
      <c r="G9" t="str">
        <v>Vehicles</v>
      </c>
      <c r="H9" s="12" t="str">
        <v/>
      </c>
      <c r="I9" t="str">
        <v>Discharge</v>
      </c>
      <c r="J9" t="str">
        <v xml:space="preserve">At Berth. </v>
      </c>
    </row>
    <row r="10" spans="1:10" x14ac:dyDescent="0.2">
      <c r="A10" s="5" t="str">
        <v/>
      </c>
      <c r="B10" t="str">
        <v>Cook Strait</v>
      </c>
      <c r="C10" s="15">
        <v>43121</v>
      </c>
      <c r="D10" s="17">
        <v>43121</v>
      </c>
      <c r="E10" s="17">
        <v>43126</v>
      </c>
      <c r="F10" s="17">
        <v>43126</v>
      </c>
      <c r="G10" t="str">
        <v>Wheat</v>
      </c>
      <c r="H10" s="12">
        <v>27000</v>
      </c>
      <c r="I10" t="str">
        <v>Discharge</v>
      </c>
      <c r="J10" t="str">
        <v/>
      </c>
    </row>
    <row r="11" spans="1:10" x14ac:dyDescent="0.2">
      <c r="A11" s="5" t="str">
        <v/>
      </c>
      <c r="B11" t="str">
        <v>Sirius Leader</v>
      </c>
      <c r="C11" s="15">
        <v>43129</v>
      </c>
      <c r="D11" s="17">
        <v>43129</v>
      </c>
      <c r="E11" s="17" t="str">
        <v/>
      </c>
      <c r="F11" s="17" t="str">
        <v/>
      </c>
      <c r="G11" t="str">
        <v>Vehicles</v>
      </c>
      <c r="H11" s="12" t="str">
        <v/>
      </c>
      <c r="I11" t="str">
        <v>Discharge</v>
      </c>
      <c r="J11" t="str">
        <v/>
      </c>
    </row>
    <row r="12" spans="1:10" x14ac:dyDescent="0.2">
      <c r="A12" s="5" t="str">
        <v/>
      </c>
      <c r="B12" t="str">
        <v>Industrial Fighter</v>
      </c>
      <c r="C12" s="15">
        <v>43130</v>
      </c>
      <c r="D12" s="17">
        <v>43130</v>
      </c>
      <c r="E12" s="17" t="str">
        <v/>
      </c>
      <c r="F12" s="17" t="str">
        <v/>
      </c>
      <c r="G12" t="str">
        <v>General Cargo</v>
      </c>
      <c r="H12" s="12">
        <v>100</v>
      </c>
      <c r="I12" t="str">
        <v>Discharge</v>
      </c>
      <c r="J12" t="str">
        <v/>
      </c>
    </row>
    <row r="13" spans="1:10" x14ac:dyDescent="0.2">
      <c r="A13" s="5" t="str">
        <v/>
      </c>
      <c r="B13" t="str">
        <v>Appollon Highway</v>
      </c>
      <c r="C13" s="15">
        <v>43134</v>
      </c>
      <c r="D13" s="17">
        <v>43134</v>
      </c>
      <c r="E13" s="17" t="str">
        <v/>
      </c>
      <c r="F13" s="17" t="str">
        <v/>
      </c>
      <c r="G13" t="str">
        <v>Vehicles</v>
      </c>
      <c r="H13" s="12" t="str">
        <v/>
      </c>
      <c r="I13" t="str">
        <v>Discharge</v>
      </c>
      <c r="J13" t="str">
        <v/>
      </c>
    </row>
    <row r="14" spans="1:10" x14ac:dyDescent="0.2">
      <c r="A14" s="5" t="str">
        <v>PIB 5</v>
      </c>
      <c r="B14" t="str">
        <v>Durban Highway</v>
      </c>
      <c r="C14" s="15">
        <v>43115</v>
      </c>
      <c r="D14" s="17">
        <v>43118</v>
      </c>
      <c r="E14" s="17" t="str">
        <v/>
      </c>
      <c r="F14" s="17" t="str">
        <v/>
      </c>
      <c r="G14" t="str">
        <v>Vehicles</v>
      </c>
      <c r="H14" s="12" t="str">
        <v/>
      </c>
      <c r="I14" t="str">
        <v>Discharge</v>
      </c>
      <c r="J14" t="str">
        <v xml:space="preserve">At Berth. </v>
      </c>
    </row>
    <row r="15" spans="1:10" x14ac:dyDescent="0.2">
      <c r="A15" s="5" t="str">
        <v/>
      </c>
      <c r="B15" t="str">
        <v>Coral Ocean</v>
      </c>
      <c r="C15" s="15">
        <v>43119</v>
      </c>
      <c r="D15" s="17">
        <v>43119</v>
      </c>
      <c r="E15" s="17">
        <v>43121</v>
      </c>
      <c r="F15" s="17">
        <v>43121</v>
      </c>
      <c r="G15" t="str">
        <v>Rebars</v>
      </c>
      <c r="H15" s="12">
        <v>5000</v>
      </c>
      <c r="I15" t="str">
        <v>Load</v>
      </c>
      <c r="J15" t="str">
        <v/>
      </c>
    </row>
    <row r="16" spans="1:10" x14ac:dyDescent="0.2">
      <c r="A16" s="5" t="str">
        <v/>
      </c>
      <c r="B16" t="str">
        <v>Florentia</v>
      </c>
      <c r="C16" s="15">
        <v>43122</v>
      </c>
      <c r="D16" s="17">
        <v>43122</v>
      </c>
      <c r="E16" s="17">
        <v>43131</v>
      </c>
      <c r="F16" s="17">
        <v>43131</v>
      </c>
      <c r="G16" t="str">
        <v xml:space="preserve">Slag </v>
      </c>
      <c r="H16" s="12">
        <v>57000</v>
      </c>
      <c r="I16" t="str">
        <v>Discharge</v>
      </c>
      <c r="J16" t="str">
        <v/>
      </c>
    </row>
    <row r="17" spans="1:8" x14ac:dyDescent="0.2">
      <c r="A17" s="5"/>
      <c r="C17" s="15"/>
      <c r="D17" s="17"/>
      <c r="E17" s="17"/>
      <c r="F17" s="17"/>
      <c r="H17" s="12"/>
    </row>
    <row r="18" spans="1:8" x14ac:dyDescent="0.2">
      <c r="A18" s="5"/>
      <c r="C18" s="15"/>
      <c r="D18" s="17"/>
      <c r="E18" s="17"/>
      <c r="F18" s="17"/>
      <c r="H18" s="12"/>
    </row>
    <row r="19" spans="1:8" x14ac:dyDescent="0.2">
      <c r="A19" s="5"/>
      <c r="C19" s="15"/>
      <c r="D19" s="17"/>
      <c r="E19" s="17"/>
      <c r="F19" s="17"/>
      <c r="H19" s="12"/>
    </row>
    <row r="20" spans="1:8" x14ac:dyDescent="0.2">
      <c r="A20" s="5"/>
      <c r="C20" s="15"/>
      <c r="D20" s="17"/>
      <c r="E20" s="17"/>
      <c r="F20" s="17"/>
      <c r="H20" s="12"/>
    </row>
    <row r="21" spans="1:8" x14ac:dyDescent="0.2">
      <c r="A21" s="5"/>
      <c r="C21" s="15"/>
      <c r="D21" s="17"/>
      <c r="E21" s="17"/>
      <c r="F21" s="17"/>
      <c r="H21" s="12"/>
    </row>
    <row r="22" spans="1:8" x14ac:dyDescent="0.2">
      <c r="A22" s="5"/>
      <c r="C22" s="15"/>
      <c r="D22" s="17"/>
      <c r="E22" s="17"/>
      <c r="F22" s="17"/>
      <c r="H22" s="12"/>
    </row>
    <row r="23" spans="1:8" x14ac:dyDescent="0.2">
      <c r="A23" s="5"/>
      <c r="C23" s="15"/>
      <c r="D23" s="17"/>
      <c r="E23" s="17"/>
      <c r="F23" s="17"/>
      <c r="H23" s="12"/>
    </row>
    <row r="24" spans="1:8" x14ac:dyDescent="0.2">
      <c r="A24" s="5"/>
      <c r="C24" s="15"/>
      <c r="D24" s="17"/>
      <c r="E24" s="17"/>
      <c r="F24" s="17"/>
      <c r="H24" s="12"/>
    </row>
    <row r="25" spans="1:8" x14ac:dyDescent="0.2">
      <c r="A25" s="5"/>
      <c r="C25" s="15"/>
      <c r="D25" s="17"/>
      <c r="E25" s="17"/>
      <c r="F25" s="17"/>
      <c r="H25" s="12"/>
    </row>
    <row r="26" spans="1:8" x14ac:dyDescent="0.2">
      <c r="A26" s="5"/>
      <c r="C26" s="15"/>
      <c r="D26" s="17"/>
      <c r="E26" s="17"/>
      <c r="F26" s="17"/>
      <c r="H26" s="12"/>
    </row>
    <row r="27" spans="1:8" x14ac:dyDescent="0.2">
      <c r="A27" s="5"/>
      <c r="C27" s="15"/>
      <c r="D27" s="17"/>
      <c r="E27" s="17"/>
      <c r="F27" s="17"/>
      <c r="H27" s="12"/>
    </row>
    <row r="28" spans="1:8" x14ac:dyDescent="0.2">
      <c r="A28" s="5"/>
      <c r="C28" s="15"/>
      <c r="D28" s="17"/>
      <c r="E28" s="17"/>
      <c r="F28" s="17"/>
      <c r="H28" s="12"/>
    </row>
    <row r="29" spans="1:8" x14ac:dyDescent="0.2">
      <c r="A29" s="5"/>
      <c r="C29" s="15"/>
      <c r="D29" s="17"/>
      <c r="E29" s="17"/>
      <c r="F29" s="17"/>
      <c r="H29" s="12"/>
    </row>
    <row r="30" spans="1:8" x14ac:dyDescent="0.2">
      <c r="A30" s="5"/>
      <c r="C30" s="15"/>
      <c r="D30" s="17"/>
      <c r="E30" s="17"/>
      <c r="F30" s="17"/>
      <c r="H30" s="12"/>
    </row>
    <row r="31" spans="1:8" x14ac:dyDescent="0.2">
      <c r="A31" s="5"/>
      <c r="C31" s="15"/>
      <c r="D31" s="17"/>
      <c r="E31" s="17"/>
      <c r="F31" s="17"/>
      <c r="H31" s="12"/>
    </row>
    <row r="32" spans="1:8" x14ac:dyDescent="0.2">
      <c r="A32" s="5"/>
      <c r="C32" s="15"/>
      <c r="D32" s="17"/>
      <c r="E32" s="17"/>
      <c r="F32" s="17"/>
      <c r="H32" s="12"/>
    </row>
    <row r="33" spans="1:8" x14ac:dyDescent="0.2">
      <c r="A33" s="5"/>
      <c r="C33" s="15"/>
      <c r="D33" s="17"/>
      <c r="E33" s="17"/>
      <c r="F33" s="17"/>
      <c r="H33" s="12"/>
    </row>
    <row r="34" spans="1:8" x14ac:dyDescent="0.2">
      <c r="A34" s="5"/>
      <c r="C34" s="15"/>
      <c r="D34" s="17"/>
      <c r="E34" s="17"/>
      <c r="F34" s="17"/>
      <c r="H34" s="12"/>
    </row>
    <row r="35" spans="1:8" x14ac:dyDescent="0.2">
      <c r="A35" s="5"/>
      <c r="C35" s="15"/>
      <c r="D35" s="17"/>
      <c r="E35" s="17"/>
      <c r="F35" s="17"/>
      <c r="H35" s="12"/>
    </row>
    <row r="36" spans="1:8" x14ac:dyDescent="0.2">
      <c r="A36" s="5"/>
      <c r="C36" s="15"/>
      <c r="D36" s="17"/>
      <c r="E36" s="17"/>
      <c r="F36" s="17"/>
      <c r="H36" s="12"/>
    </row>
    <row r="37" spans="1:8" x14ac:dyDescent="0.2">
      <c r="A37" s="5"/>
      <c r="C37" s="15"/>
      <c r="D37" s="17"/>
      <c r="E37" s="17"/>
      <c r="F37" s="17"/>
      <c r="H37" s="12"/>
    </row>
    <row r="38" spans="1:8" x14ac:dyDescent="0.2">
      <c r="A38" s="5"/>
      <c r="C38" s="15"/>
      <c r="D38" s="17"/>
      <c r="E38" s="17"/>
      <c r="F38" s="17"/>
      <c r="H38" s="12"/>
    </row>
    <row r="39" spans="1:8" x14ac:dyDescent="0.2">
      <c r="A39" s="5"/>
      <c r="C39" s="15"/>
      <c r="D39" s="17"/>
      <c r="E39" s="17"/>
      <c r="F39" s="17"/>
      <c r="H39" s="12"/>
    </row>
    <row r="40" spans="1:8" x14ac:dyDescent="0.2">
      <c r="A40" s="5"/>
      <c r="C40" s="15"/>
      <c r="D40" s="17"/>
      <c r="E40" s="17"/>
      <c r="F40" s="17"/>
      <c r="H40" s="12"/>
    </row>
    <row r="41" spans="1:8" x14ac:dyDescent="0.2">
      <c r="A41" s="5"/>
      <c r="C41" s="15"/>
      <c r="D41" s="17"/>
      <c r="E41" s="17"/>
      <c r="F41" s="17"/>
      <c r="H41" s="12"/>
    </row>
    <row r="42" spans="1:8" x14ac:dyDescent="0.2">
      <c r="A42" s="5"/>
      <c r="C42" s="15"/>
      <c r="D42" s="17"/>
      <c r="E42" s="17"/>
      <c r="F42" s="17"/>
      <c r="H42" s="12"/>
    </row>
    <row r="43" spans="1:8" x14ac:dyDescent="0.2">
      <c r="A43" s="5"/>
      <c r="C43" s="15"/>
      <c r="D43" s="17"/>
      <c r="E43" s="17"/>
      <c r="F43" s="17"/>
      <c r="H43" s="12"/>
    </row>
    <row r="44" spans="1:8" x14ac:dyDescent="0.2">
      <c r="A44" s="5"/>
      <c r="C44" s="15"/>
      <c r="D44" s="17"/>
      <c r="E44" s="17"/>
      <c r="F44" s="17"/>
      <c r="H44" s="12"/>
    </row>
    <row r="45" spans="1:8" x14ac:dyDescent="0.2">
      <c r="A45" s="5"/>
      <c r="C45" s="15"/>
      <c r="D45" s="17"/>
      <c r="E45" s="17"/>
      <c r="F45" s="17"/>
      <c r="H45" s="12"/>
    </row>
    <row r="46" spans="1:8" x14ac:dyDescent="0.2">
      <c r="A46" s="5"/>
      <c r="C46" s="15"/>
      <c r="D46" s="17"/>
      <c r="E46" s="17"/>
      <c r="F46" s="17"/>
      <c r="H46" s="12"/>
    </row>
    <row r="47" spans="1:8" x14ac:dyDescent="0.2">
      <c r="A47" s="5"/>
      <c r="C47" s="15"/>
      <c r="D47" s="17"/>
      <c r="E47" s="17"/>
      <c r="F47" s="17"/>
      <c r="H47" s="12"/>
    </row>
    <row r="48" spans="1:8" x14ac:dyDescent="0.2">
      <c r="A48" s="5"/>
      <c r="C48" s="15"/>
      <c r="D48" s="17"/>
      <c r="E48" s="17"/>
      <c r="F48" s="17"/>
      <c r="H48" s="12"/>
    </row>
    <row r="49" spans="1:8" x14ac:dyDescent="0.2">
      <c r="A49" s="5"/>
      <c r="C49" s="15"/>
      <c r="D49" s="17"/>
      <c r="E49" s="17"/>
      <c r="F49" s="17"/>
      <c r="H49" s="12"/>
    </row>
    <row r="50" spans="1:8" x14ac:dyDescent="0.2">
      <c r="A50" s="5"/>
      <c r="C50" s="15"/>
      <c r="D50" s="17"/>
      <c r="E50" s="17"/>
      <c r="F50" s="17"/>
      <c r="H50" s="12"/>
    </row>
    <row r="51" spans="1:8" x14ac:dyDescent="0.2">
      <c r="A51" s="5"/>
      <c r="C51" s="15"/>
      <c r="D51" s="17"/>
      <c r="E51" s="17"/>
      <c r="F51" s="17"/>
      <c r="H51" s="12"/>
    </row>
    <row r="52" spans="1:8" x14ac:dyDescent="0.2">
      <c r="A52" s="5"/>
      <c r="C52" s="15"/>
      <c r="D52" s="17"/>
      <c r="E52" s="17"/>
      <c r="F52" s="17"/>
      <c r="H52" s="12"/>
    </row>
    <row r="53" spans="1:8" x14ac:dyDescent="0.2">
      <c r="A53" s="5"/>
      <c r="C53" s="15"/>
      <c r="D53" s="17"/>
      <c r="E53" s="17"/>
      <c r="F53" s="17"/>
      <c r="H53" s="12"/>
    </row>
    <row r="54" spans="1:8" x14ac:dyDescent="0.2">
      <c r="A54" s="5"/>
      <c r="C54" s="15"/>
      <c r="D54" s="17"/>
      <c r="E54" s="17"/>
      <c r="F54" s="17"/>
      <c r="H54" s="12"/>
    </row>
    <row r="55" spans="1:8" x14ac:dyDescent="0.2">
      <c r="A55" s="5"/>
      <c r="C55" s="15"/>
      <c r="D55" s="17"/>
      <c r="E55" s="17"/>
      <c r="F55" s="17"/>
      <c r="H55" s="12"/>
    </row>
    <row r="56" spans="1:8" x14ac:dyDescent="0.2">
      <c r="A56" s="5"/>
      <c r="C56" s="15"/>
      <c r="D56" s="17"/>
      <c r="E56" s="17"/>
      <c r="F56" s="17"/>
      <c r="H56" s="12"/>
    </row>
    <row r="57" spans="1:8" x14ac:dyDescent="0.2">
      <c r="A57" s="5"/>
      <c r="C57" s="15"/>
      <c r="D57" s="17"/>
      <c r="E57" s="17"/>
      <c r="F57" s="17"/>
      <c r="H57" s="12"/>
    </row>
    <row r="58" spans="1:8" x14ac:dyDescent="0.2">
      <c r="A58" s="5"/>
      <c r="C58" s="15"/>
      <c r="D58" s="17"/>
      <c r="E58" s="17"/>
      <c r="F58" s="17"/>
      <c r="H58" s="12"/>
    </row>
    <row r="59" spans="1:8" x14ac:dyDescent="0.2">
      <c r="A59" s="5"/>
      <c r="C59" s="15"/>
      <c r="D59" s="17"/>
      <c r="E59" s="17"/>
      <c r="F59" s="17"/>
      <c r="H59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AEA0-6A94-8C42-8DF7-74D51DBCB607}">
  <dimension ref="A1:C43"/>
  <sheetViews>
    <sheetView workbookViewId="0">
      <selection activeCell="A2" sqref="A2:B2"/>
    </sheetView>
  </sheetViews>
  <sheetFormatPr baseColWidth="10" defaultColWidth="11" defaultRowHeight="16" x14ac:dyDescent="0.2"/>
  <cols>
    <col min="1" max="1" width="26.6640625" style="3" customWidth="1"/>
    <col min="2" max="2" width="25.33203125" style="30" bestFit="1" customWidth="1"/>
    <col min="3" max="3" width="10.83203125" style="28"/>
  </cols>
  <sheetData>
    <row r="1" spans="1:3" x14ac:dyDescent="0.2">
      <c r="A1" s="4" t="s">
        <v>215</v>
      </c>
    </row>
    <row r="2" spans="1:3" x14ac:dyDescent="0.2">
      <c r="B2" s="41"/>
      <c r="C2" s="27"/>
    </row>
    <row r="3" spans="1:3" x14ac:dyDescent="0.2">
      <c r="A3" s="4" t="s">
        <v>216</v>
      </c>
      <c r="B3" s="31" t="s">
        <v>217</v>
      </c>
      <c r="C3" s="27"/>
    </row>
    <row r="4" spans="1:3" x14ac:dyDescent="0.2">
      <c r="A4" s="4" t="s">
        <v>218</v>
      </c>
      <c r="B4" s="26">
        <v>2774</v>
      </c>
      <c r="C4" s="27"/>
    </row>
    <row r="5" spans="1:3" x14ac:dyDescent="0.2">
      <c r="A5" s="4" t="s">
        <v>219</v>
      </c>
      <c r="B5" s="29" t="s">
        <v>220</v>
      </c>
      <c r="C5" s="27"/>
    </row>
    <row r="6" spans="1:3" x14ac:dyDescent="0.2">
      <c r="A6" s="4" t="s">
        <v>221</v>
      </c>
      <c r="B6" s="26">
        <v>21</v>
      </c>
      <c r="C6" s="27"/>
    </row>
    <row r="7" spans="1:3" x14ac:dyDescent="0.2">
      <c r="A7" s="4" t="s">
        <v>222</v>
      </c>
      <c r="B7" s="29" t="s">
        <v>223</v>
      </c>
      <c r="C7" s="27"/>
    </row>
    <row r="8" spans="1:3" x14ac:dyDescent="0.2">
      <c r="A8" s="4" t="s">
        <v>224</v>
      </c>
      <c r="B8" s="29" t="s">
        <v>45</v>
      </c>
      <c r="C8" s="27"/>
    </row>
    <row r="9" spans="1:3" x14ac:dyDescent="0.2">
      <c r="A9" s="4" t="s">
        <v>225</v>
      </c>
      <c r="B9" s="29">
        <v>45627</v>
      </c>
      <c r="C9" s="27">
        <v>45633.701388888891</v>
      </c>
    </row>
    <row r="10" spans="1:3" x14ac:dyDescent="0.2">
      <c r="A10" s="4" t="s">
        <v>226</v>
      </c>
      <c r="B10" s="29">
        <v>45630</v>
      </c>
      <c r="C10" s="27">
        <v>45633.305555555555</v>
      </c>
    </row>
    <row r="11" spans="1:3" x14ac:dyDescent="0.2">
      <c r="A11" s="4" t="s">
        <v>227</v>
      </c>
      <c r="B11" s="29">
        <v>45630</v>
      </c>
      <c r="C11" s="27">
        <v>45633.305555555555</v>
      </c>
    </row>
    <row r="12" spans="1:3" x14ac:dyDescent="0.2">
      <c r="A12" s="4" t="s">
        <v>228</v>
      </c>
      <c r="B12" s="29">
        <v>45630</v>
      </c>
      <c r="C12" s="27">
        <v>45633.305555555555</v>
      </c>
    </row>
    <row r="13" spans="1:3" x14ac:dyDescent="0.2">
      <c r="A13" s="4" t="s">
        <v>229</v>
      </c>
      <c r="B13" s="29">
        <v>45630</v>
      </c>
      <c r="C13" s="27">
        <v>45633.305555555555</v>
      </c>
    </row>
    <row r="14" spans="1:3" x14ac:dyDescent="0.2">
      <c r="A14" s="4" t="s">
        <v>230</v>
      </c>
      <c r="B14" s="29">
        <v>45633</v>
      </c>
      <c r="C14" s="27">
        <v>45633.743055555555</v>
      </c>
    </row>
    <row r="15" spans="1:3" x14ac:dyDescent="0.2">
      <c r="A15" s="4" t="s">
        <v>231</v>
      </c>
      <c r="B15" s="29">
        <v>45633</v>
      </c>
      <c r="C15" s="27">
        <v>45633.78125</v>
      </c>
    </row>
    <row r="16" spans="1:3" x14ac:dyDescent="0.2">
      <c r="A16" s="4" t="s">
        <v>232</v>
      </c>
      <c r="B16" s="29">
        <v>45633</v>
      </c>
      <c r="C16" s="27">
        <v>45633.815972222219</v>
      </c>
    </row>
    <row r="17" spans="1:3" x14ac:dyDescent="0.2">
      <c r="A17" s="4" t="s">
        <v>233</v>
      </c>
      <c r="B17" s="29">
        <v>45633</v>
      </c>
      <c r="C17" s="27">
        <v>45633.829861111109</v>
      </c>
    </row>
    <row r="18" spans="1:3" x14ac:dyDescent="0.2">
      <c r="A18" s="4" t="s">
        <v>234</v>
      </c>
      <c r="B18" s="29">
        <v>45633</v>
      </c>
      <c r="C18" s="27">
        <v>45633.840277777781</v>
      </c>
    </row>
    <row r="19" spans="1:3" x14ac:dyDescent="0.2">
      <c r="A19" s="4" t="s">
        <v>235</v>
      </c>
      <c r="B19" s="29">
        <v>45633</v>
      </c>
      <c r="C19" s="27">
        <v>45633.865972222222</v>
      </c>
    </row>
    <row r="20" spans="1:3" x14ac:dyDescent="0.2">
      <c r="A20" s="4" t="s">
        <v>236</v>
      </c>
      <c r="B20" s="29">
        <v>45634</v>
      </c>
      <c r="C20" s="27">
        <v>45633.333333333336</v>
      </c>
    </row>
    <row r="21" spans="1:3" x14ac:dyDescent="0.2">
      <c r="A21" s="4" t="s">
        <v>237</v>
      </c>
      <c r="B21" s="29"/>
      <c r="C21" s="27"/>
    </row>
    <row r="22" spans="1:3" ht="34" x14ac:dyDescent="0.2">
      <c r="A22" s="34" t="s">
        <v>238</v>
      </c>
      <c r="B22" s="29"/>
      <c r="C22" s="27"/>
    </row>
    <row r="23" spans="1:3" x14ac:dyDescent="0.2">
      <c r="A23" s="4" t="s">
        <v>239</v>
      </c>
      <c r="B23" s="29"/>
      <c r="C23" s="27"/>
    </row>
    <row r="24" spans="1:3" x14ac:dyDescent="0.2">
      <c r="A24" s="4" t="s">
        <v>240</v>
      </c>
      <c r="B24" s="29"/>
      <c r="C24" s="27"/>
    </row>
    <row r="25" spans="1:3" x14ac:dyDescent="0.2">
      <c r="A25" s="4" t="s">
        <v>241</v>
      </c>
      <c r="B25" s="29"/>
      <c r="C25" s="27"/>
    </row>
    <row r="26" spans="1:3" x14ac:dyDescent="0.2">
      <c r="A26" s="4" t="s">
        <v>242</v>
      </c>
      <c r="B26" s="29"/>
      <c r="C26" s="27"/>
    </row>
    <row r="27" spans="1:3" x14ac:dyDescent="0.2">
      <c r="A27" s="4"/>
      <c r="B27" s="29"/>
      <c r="C27" s="27"/>
    </row>
    <row r="28" spans="1:3" x14ac:dyDescent="0.2">
      <c r="A28" s="4" t="s">
        <v>243</v>
      </c>
      <c r="B28" s="29" t="s">
        <v>224</v>
      </c>
      <c r="C28" s="27" t="s">
        <v>244</v>
      </c>
    </row>
    <row r="29" spans="1:3" x14ac:dyDescent="0.2">
      <c r="A29" s="4" t="s">
        <v>245</v>
      </c>
      <c r="B29" s="29" t="s">
        <v>246</v>
      </c>
      <c r="C29" s="27"/>
    </row>
    <row r="30" spans="1:3" x14ac:dyDescent="0.2">
      <c r="A30" s="4" t="s">
        <v>247</v>
      </c>
      <c r="B30" s="29" t="s">
        <v>248</v>
      </c>
      <c r="C30" s="27"/>
    </row>
    <row r="31" spans="1:3" x14ac:dyDescent="0.2">
      <c r="A31" s="4" t="s">
        <v>249</v>
      </c>
      <c r="B31" s="29" t="s">
        <v>250</v>
      </c>
      <c r="C31" s="27"/>
    </row>
    <row r="32" spans="1:3" x14ac:dyDescent="0.2">
      <c r="A32" s="4"/>
      <c r="B32" s="29"/>
      <c r="C32" s="27"/>
    </row>
    <row r="33" spans="1:3" x14ac:dyDescent="0.2">
      <c r="A33" s="4" t="s">
        <v>251</v>
      </c>
      <c r="B33" s="29" t="s">
        <v>224</v>
      </c>
      <c r="C33" s="27" t="s">
        <v>244</v>
      </c>
    </row>
    <row r="34" spans="1:3" x14ac:dyDescent="0.2">
      <c r="A34" s="4" t="s">
        <v>252</v>
      </c>
      <c r="B34" s="29" t="s">
        <v>253</v>
      </c>
      <c r="C34" s="27"/>
    </row>
    <row r="35" spans="1:3" x14ac:dyDescent="0.2">
      <c r="A35" s="4" t="s">
        <v>254</v>
      </c>
      <c r="B35" s="29" t="s">
        <v>255</v>
      </c>
      <c r="C35" s="27"/>
    </row>
    <row r="36" spans="1:3" x14ac:dyDescent="0.2">
      <c r="A36" s="4"/>
      <c r="B36" s="29"/>
      <c r="C36" s="27"/>
    </row>
    <row r="37" spans="1:3" x14ac:dyDescent="0.2">
      <c r="A37" s="4" t="s">
        <v>256</v>
      </c>
      <c r="B37" s="29" t="s">
        <v>224</v>
      </c>
      <c r="C37" s="27" t="s">
        <v>244</v>
      </c>
    </row>
    <row r="38" spans="1:3" x14ac:dyDescent="0.2">
      <c r="A38" s="4" t="s">
        <v>257</v>
      </c>
      <c r="B38" s="26">
        <v>2</v>
      </c>
      <c r="C38" s="27"/>
    </row>
    <row r="39" spans="1:3" x14ac:dyDescent="0.2">
      <c r="A39" s="4" t="s">
        <v>258</v>
      </c>
      <c r="B39" s="29" t="s">
        <v>259</v>
      </c>
      <c r="C39" s="27"/>
    </row>
    <row r="40" spans="1:3" x14ac:dyDescent="0.2">
      <c r="A40" s="4"/>
      <c r="B40" s="29" t="s">
        <v>260</v>
      </c>
      <c r="C40" s="27"/>
    </row>
    <row r="42" spans="1:3" x14ac:dyDescent="0.2">
      <c r="A42" s="4"/>
      <c r="B42" s="29"/>
      <c r="C42" s="27"/>
    </row>
    <row r="43" spans="1:3" x14ac:dyDescent="0.2">
      <c r="A43" s="4"/>
      <c r="B43" s="29"/>
      <c r="C43" s="27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DB3D-9AF3-F949-8B96-370984D331ED}">
  <dimension ref="A1:F122"/>
  <sheetViews>
    <sheetView tabSelected="1" workbookViewId="0">
      <selection activeCell="A2" sqref="A2:B2"/>
    </sheetView>
  </sheetViews>
  <sheetFormatPr baseColWidth="10" defaultColWidth="11" defaultRowHeight="16" x14ac:dyDescent="0.2"/>
  <cols>
    <col min="1" max="1" width="26.6640625" customWidth="1"/>
    <col min="2" max="2" width="24.5" customWidth="1"/>
    <col min="3" max="3" width="23" customWidth="1"/>
    <col min="4" max="4" width="21.33203125" customWidth="1"/>
    <col min="6" max="6" width="17.83203125" bestFit="1" customWidth="1"/>
  </cols>
  <sheetData>
    <row r="1" spans="1:6" x14ac:dyDescent="0.2">
      <c r="A1" s="3" t="s">
        <v>261</v>
      </c>
      <c r="B1" s="3" t="s">
        <v>262</v>
      </c>
    </row>
    <row r="2" spans="1:6" x14ac:dyDescent="0.2">
      <c r="A2" s="35"/>
      <c r="B2" s="41"/>
    </row>
    <row r="3" spans="1:6" x14ac:dyDescent="0.2">
      <c r="A3" s="3" t="s">
        <v>263</v>
      </c>
      <c r="B3" s="3" t="s">
        <v>263</v>
      </c>
    </row>
    <row r="4" spans="1:6" x14ac:dyDescent="0.2">
      <c r="A4" s="6" t="s">
        <v>264</v>
      </c>
      <c r="B4" s="46">
        <v>1169.5830000000001</v>
      </c>
      <c r="C4" s="32"/>
      <c r="D4" s="32"/>
      <c r="E4" s="32"/>
      <c r="F4" s="32"/>
    </row>
    <row r="5" spans="1:6" x14ac:dyDescent="0.2">
      <c r="A5" s="3" t="s">
        <v>265</v>
      </c>
      <c r="B5">
        <v>73</v>
      </c>
    </row>
    <row r="6" spans="1:6" x14ac:dyDescent="0.2">
      <c r="A6" s="6" t="s">
        <v>263</v>
      </c>
      <c r="B6" s="6" t="s">
        <v>263</v>
      </c>
      <c r="C6" s="32"/>
      <c r="D6" s="32"/>
      <c r="E6" s="32"/>
      <c r="F6" s="32"/>
    </row>
    <row r="7" spans="1:6" x14ac:dyDescent="0.2">
      <c r="A7" s="3" t="s">
        <v>266</v>
      </c>
      <c r="B7">
        <v>945.279</v>
      </c>
    </row>
    <row r="8" spans="1:6" x14ac:dyDescent="0.2">
      <c r="A8" s="3" t="s">
        <v>267</v>
      </c>
      <c r="B8">
        <v>224.30400000000009</v>
      </c>
    </row>
    <row r="9" spans="1:6" x14ac:dyDescent="0.2">
      <c r="A9" s="3" t="s">
        <v>268</v>
      </c>
      <c r="B9">
        <v>59</v>
      </c>
    </row>
    <row r="10" spans="1:6" x14ac:dyDescent="0.2">
      <c r="A10" s="3" t="s">
        <v>269</v>
      </c>
      <c r="B10">
        <v>14</v>
      </c>
    </row>
    <row r="11" spans="1:6" x14ac:dyDescent="0.2">
      <c r="A11" s="6" t="s">
        <v>270</v>
      </c>
      <c r="B11" s="6" t="s">
        <v>271</v>
      </c>
      <c r="C11" s="6" t="s">
        <v>267</v>
      </c>
      <c r="D11" s="32"/>
      <c r="E11" s="32"/>
      <c r="F11" s="32"/>
    </row>
    <row r="12" spans="1:6" x14ac:dyDescent="0.2">
      <c r="A12" s="20">
        <v>1169.5830000000001</v>
      </c>
      <c r="B12">
        <v>945.279</v>
      </c>
      <c r="C12">
        <v>224.30400000000009</v>
      </c>
    </row>
    <row r="13" spans="1:6" x14ac:dyDescent="0.2">
      <c r="A13" s="6" t="s">
        <v>272</v>
      </c>
      <c r="B13" s="6" t="s">
        <v>273</v>
      </c>
      <c r="C13" s="6" t="s">
        <v>269</v>
      </c>
      <c r="D13" s="32"/>
      <c r="E13" s="32"/>
      <c r="F13" s="32"/>
    </row>
    <row r="14" spans="1:6" x14ac:dyDescent="0.2">
      <c r="A14">
        <v>73</v>
      </c>
      <c r="B14">
        <v>59</v>
      </c>
      <c r="C14">
        <v>14</v>
      </c>
    </row>
    <row r="15" spans="1:6" x14ac:dyDescent="0.2">
      <c r="A15" s="33" t="s">
        <v>274</v>
      </c>
      <c r="B15" s="6" t="s">
        <v>275</v>
      </c>
      <c r="C15" s="6" t="s">
        <v>273</v>
      </c>
      <c r="D15" s="6" t="s">
        <v>271</v>
      </c>
      <c r="E15" s="32"/>
      <c r="F15" s="6" t="s">
        <v>276</v>
      </c>
    </row>
    <row r="16" spans="1:6" x14ac:dyDescent="0.2">
      <c r="A16" s="29">
        <v>46084</v>
      </c>
      <c r="B16" t="s">
        <v>277</v>
      </c>
      <c r="C16">
        <v>23</v>
      </c>
      <c r="D16" s="20">
        <v>104289.086</v>
      </c>
      <c r="F16" s="45">
        <v>46088.291666666664</v>
      </c>
    </row>
    <row r="17" spans="1:4" x14ac:dyDescent="0.2">
      <c r="A17" s="29">
        <v>46084</v>
      </c>
      <c r="B17" t="s">
        <v>278</v>
      </c>
      <c r="C17">
        <v>6</v>
      </c>
      <c r="D17" s="20">
        <v>27205.848000000002</v>
      </c>
    </row>
    <row r="18" spans="1:4" x14ac:dyDescent="0.2">
      <c r="A18" s="29">
        <v>46084</v>
      </c>
      <c r="B18" t="s">
        <v>279</v>
      </c>
      <c r="C18">
        <v>9</v>
      </c>
      <c r="D18" s="20">
        <v>144195.16399999999</v>
      </c>
    </row>
    <row r="19" spans="1:4" x14ac:dyDescent="0.2">
      <c r="A19" s="29">
        <v>46085</v>
      </c>
      <c r="B19" t="s">
        <v>280</v>
      </c>
      <c r="C19">
        <v>13</v>
      </c>
      <c r="D19" s="20">
        <v>208281.90400000001</v>
      </c>
    </row>
    <row r="20" spans="1:4" x14ac:dyDescent="0.2">
      <c r="A20" s="29">
        <v>46085</v>
      </c>
      <c r="B20" t="s">
        <v>277</v>
      </c>
      <c r="C20">
        <v>3</v>
      </c>
      <c r="D20" s="20">
        <v>48065.055</v>
      </c>
    </row>
    <row r="21" spans="1:4" x14ac:dyDescent="0.2">
      <c r="A21" s="29">
        <v>46085</v>
      </c>
      <c r="B21" t="s">
        <v>278</v>
      </c>
      <c r="C21">
        <v>0</v>
      </c>
      <c r="D21" s="20">
        <v>0</v>
      </c>
    </row>
    <row r="22" spans="1:4" x14ac:dyDescent="0.2">
      <c r="A22" s="29">
        <v>46085</v>
      </c>
      <c r="B22" t="s">
        <v>279</v>
      </c>
      <c r="C22">
        <v>0</v>
      </c>
      <c r="D22" s="20">
        <v>0</v>
      </c>
    </row>
    <row r="23" spans="1:4" x14ac:dyDescent="0.2">
      <c r="A23" s="29">
        <v>46086</v>
      </c>
      <c r="B23" t="s">
        <v>280</v>
      </c>
      <c r="C23">
        <v>4</v>
      </c>
      <c r="D23" s="20">
        <v>64086.74</v>
      </c>
    </row>
    <row r="24" spans="1:4" x14ac:dyDescent="0.2">
      <c r="A24" s="29">
        <v>46086</v>
      </c>
      <c r="B24" t="s">
        <v>277</v>
      </c>
      <c r="C24">
        <v>1</v>
      </c>
      <c r="D24" s="20">
        <v>16021.68</v>
      </c>
    </row>
    <row r="25" spans="1:4" x14ac:dyDescent="0.2">
      <c r="A25" s="29">
        <v>46086</v>
      </c>
      <c r="B25" t="s">
        <v>278</v>
      </c>
      <c r="C25">
        <v>4</v>
      </c>
      <c r="D25" s="20">
        <v>64086.74</v>
      </c>
    </row>
    <row r="26" spans="1:4" x14ac:dyDescent="0.2">
      <c r="A26" s="29">
        <v>46086</v>
      </c>
      <c r="B26" t="s">
        <v>279</v>
      </c>
      <c r="C26">
        <v>2</v>
      </c>
      <c r="D26" s="20">
        <v>32043.37</v>
      </c>
    </row>
    <row r="27" spans="1:4" x14ac:dyDescent="0.2">
      <c r="A27" s="29">
        <v>46087</v>
      </c>
      <c r="B27" t="s">
        <v>280</v>
      </c>
      <c r="C27">
        <v>12</v>
      </c>
      <c r="D27" s="20">
        <v>192260.21900000001</v>
      </c>
    </row>
    <row r="28" spans="1:4" x14ac:dyDescent="0.2">
      <c r="A28" s="29">
        <v>46087</v>
      </c>
      <c r="B28" t="s">
        <v>277</v>
      </c>
      <c r="C28">
        <v>3</v>
      </c>
      <c r="D28" s="20">
        <v>48065.055</v>
      </c>
    </row>
    <row r="29" spans="1:4" x14ac:dyDescent="0.2">
      <c r="A29" s="29">
        <v>46087</v>
      </c>
      <c r="B29" t="s">
        <v>278</v>
      </c>
      <c r="C29">
        <v>8</v>
      </c>
      <c r="D29" s="20">
        <v>128173.48</v>
      </c>
    </row>
    <row r="30" spans="1:4" x14ac:dyDescent="0.2">
      <c r="A30" s="29"/>
      <c r="D30" s="20"/>
    </row>
    <row r="31" spans="1:4" x14ac:dyDescent="0.2">
      <c r="A31" s="29"/>
      <c r="D31" s="20"/>
    </row>
    <row r="32" spans="1:4" x14ac:dyDescent="0.2">
      <c r="A32" s="29"/>
      <c r="D32" s="20"/>
    </row>
    <row r="33" spans="1:4" x14ac:dyDescent="0.2">
      <c r="A33" s="29"/>
      <c r="D33" s="20"/>
    </row>
    <row r="34" spans="1:4" x14ac:dyDescent="0.2">
      <c r="A34" s="29"/>
      <c r="D34" s="20"/>
    </row>
    <row r="35" spans="1:4" x14ac:dyDescent="0.2">
      <c r="A35" s="29"/>
      <c r="D35" s="20"/>
    </row>
    <row r="36" spans="1:4" x14ac:dyDescent="0.2">
      <c r="A36" s="29"/>
      <c r="D36" s="20"/>
    </row>
    <row r="37" spans="1:4" x14ac:dyDescent="0.2">
      <c r="A37" s="29"/>
      <c r="D37" s="20"/>
    </row>
    <row r="38" spans="1:4" x14ac:dyDescent="0.2">
      <c r="A38" s="29"/>
      <c r="D38" s="20"/>
    </row>
    <row r="39" spans="1:4" x14ac:dyDescent="0.2">
      <c r="A39" s="29"/>
      <c r="D39" s="20"/>
    </row>
    <row r="40" spans="1:4" x14ac:dyDescent="0.2">
      <c r="A40" s="29"/>
      <c r="D40" s="20"/>
    </row>
    <row r="41" spans="1:4" x14ac:dyDescent="0.2">
      <c r="A41" s="29"/>
      <c r="D41" s="20"/>
    </row>
    <row r="42" spans="1:4" x14ac:dyDescent="0.2">
      <c r="A42" s="29"/>
      <c r="D42" s="20"/>
    </row>
    <row r="43" spans="1:4" x14ac:dyDescent="0.2">
      <c r="A43" s="29"/>
      <c r="D43" s="20"/>
    </row>
    <row r="44" spans="1:4" x14ac:dyDescent="0.2">
      <c r="A44" s="29"/>
      <c r="D44" s="20"/>
    </row>
    <row r="45" spans="1:4" x14ac:dyDescent="0.2">
      <c r="A45" s="29"/>
      <c r="D45" s="20"/>
    </row>
    <row r="46" spans="1:4" x14ac:dyDescent="0.2">
      <c r="A46" s="29"/>
      <c r="D46" s="20"/>
    </row>
    <row r="47" spans="1:4" x14ac:dyDescent="0.2">
      <c r="A47" s="29"/>
      <c r="D47" s="20"/>
    </row>
    <row r="48" spans="1:4" x14ac:dyDescent="0.2">
      <c r="A48" s="29"/>
      <c r="D48" s="20"/>
    </row>
    <row r="49" spans="1:4" x14ac:dyDescent="0.2">
      <c r="A49" s="29"/>
      <c r="D49" s="20"/>
    </row>
    <row r="50" spans="1:4" x14ac:dyDescent="0.2">
      <c r="A50" s="29"/>
      <c r="D50" s="20"/>
    </row>
    <row r="51" spans="1:4" x14ac:dyDescent="0.2">
      <c r="A51" s="29"/>
      <c r="D51" s="20"/>
    </row>
    <row r="52" spans="1:4" x14ac:dyDescent="0.2">
      <c r="A52" s="29"/>
      <c r="D52" s="20"/>
    </row>
    <row r="53" spans="1:4" x14ac:dyDescent="0.2">
      <c r="A53" s="29"/>
      <c r="D53" s="20"/>
    </row>
    <row r="54" spans="1:4" x14ac:dyDescent="0.2">
      <c r="A54" s="29"/>
      <c r="D54" s="20"/>
    </row>
    <row r="55" spans="1:4" x14ac:dyDescent="0.2">
      <c r="A55" s="29"/>
      <c r="D55" s="20"/>
    </row>
    <row r="56" spans="1:4" x14ac:dyDescent="0.2">
      <c r="A56" s="29"/>
      <c r="D56" s="20"/>
    </row>
    <row r="57" spans="1:4" x14ac:dyDescent="0.2">
      <c r="A57" s="29"/>
      <c r="D57" s="20"/>
    </row>
    <row r="58" spans="1:4" x14ac:dyDescent="0.2">
      <c r="A58" s="29"/>
      <c r="D58" s="20"/>
    </row>
    <row r="59" spans="1:4" x14ac:dyDescent="0.2">
      <c r="A59" s="29"/>
      <c r="D59" s="20"/>
    </row>
    <row r="60" spans="1:4" x14ac:dyDescent="0.2">
      <c r="A60" s="29"/>
      <c r="D60" s="20"/>
    </row>
    <row r="61" spans="1:4" x14ac:dyDescent="0.2">
      <c r="A61" s="29"/>
      <c r="D61" s="20"/>
    </row>
    <row r="62" spans="1:4" x14ac:dyDescent="0.2">
      <c r="A62" s="29"/>
      <c r="D62" s="20"/>
    </row>
    <row r="63" spans="1:4" x14ac:dyDescent="0.2">
      <c r="A63" s="29"/>
      <c r="D63" s="20"/>
    </row>
    <row r="64" spans="1:4" x14ac:dyDescent="0.2">
      <c r="A64" s="29"/>
      <c r="D64" s="20"/>
    </row>
    <row r="65" spans="1:4" x14ac:dyDescent="0.2">
      <c r="A65" s="29"/>
      <c r="D65" s="20"/>
    </row>
    <row r="66" spans="1:4" x14ac:dyDescent="0.2">
      <c r="A66" s="29"/>
      <c r="D66" s="20"/>
    </row>
    <row r="67" spans="1:4" x14ac:dyDescent="0.2">
      <c r="A67" s="29"/>
      <c r="D67" s="20"/>
    </row>
    <row r="68" spans="1:4" x14ac:dyDescent="0.2">
      <c r="A68" s="29"/>
      <c r="D68" s="20"/>
    </row>
    <row r="69" spans="1:4" x14ac:dyDescent="0.2">
      <c r="A69" s="29"/>
      <c r="D69" s="20"/>
    </row>
    <row r="70" spans="1:4" x14ac:dyDescent="0.2">
      <c r="A70" s="29"/>
      <c r="D70" s="20"/>
    </row>
    <row r="71" spans="1:4" x14ac:dyDescent="0.2">
      <c r="A71" s="29"/>
      <c r="D71" s="20"/>
    </row>
    <row r="72" spans="1:4" x14ac:dyDescent="0.2">
      <c r="A72" s="29"/>
      <c r="D72" s="20"/>
    </row>
    <row r="73" spans="1:4" x14ac:dyDescent="0.2">
      <c r="A73" s="29"/>
      <c r="D73" s="20"/>
    </row>
    <row r="74" spans="1:4" x14ac:dyDescent="0.2">
      <c r="A74" s="29"/>
      <c r="D74" s="20"/>
    </row>
    <row r="75" spans="1:4" x14ac:dyDescent="0.2">
      <c r="A75" s="29"/>
      <c r="D75" s="20"/>
    </row>
    <row r="76" spans="1:4" x14ac:dyDescent="0.2">
      <c r="A76" s="29"/>
      <c r="D76" s="20"/>
    </row>
    <row r="77" spans="1:4" x14ac:dyDescent="0.2">
      <c r="A77" s="29"/>
      <c r="D77" s="20"/>
    </row>
    <row r="78" spans="1:4" x14ac:dyDescent="0.2">
      <c r="A78" s="29"/>
      <c r="D78" s="20"/>
    </row>
    <row r="79" spans="1:4" x14ac:dyDescent="0.2">
      <c r="A79" s="29"/>
      <c r="D79" s="20"/>
    </row>
    <row r="80" spans="1:4" x14ac:dyDescent="0.2">
      <c r="A80" s="29"/>
      <c r="D80" s="20"/>
    </row>
    <row r="81" spans="1:4" x14ac:dyDescent="0.2">
      <c r="A81" s="29"/>
      <c r="D81" s="20"/>
    </row>
    <row r="82" spans="1:4" x14ac:dyDescent="0.2">
      <c r="A82" s="29"/>
      <c r="D82" s="20"/>
    </row>
    <row r="83" spans="1:4" x14ac:dyDescent="0.2">
      <c r="A83" s="29"/>
      <c r="D83" s="20"/>
    </row>
    <row r="84" spans="1:4" x14ac:dyDescent="0.2">
      <c r="A84" s="29"/>
      <c r="D84" s="20"/>
    </row>
    <row r="85" spans="1:4" x14ac:dyDescent="0.2">
      <c r="A85" s="29"/>
      <c r="D85" s="20"/>
    </row>
    <row r="86" spans="1:4" x14ac:dyDescent="0.2">
      <c r="A86" s="29"/>
      <c r="D86" s="20"/>
    </row>
    <row r="87" spans="1:4" x14ac:dyDescent="0.2">
      <c r="A87" s="29"/>
      <c r="D87" s="20"/>
    </row>
    <row r="88" spans="1:4" x14ac:dyDescent="0.2">
      <c r="A88" s="29"/>
      <c r="D88" s="20"/>
    </row>
    <row r="89" spans="1:4" x14ac:dyDescent="0.2">
      <c r="A89" s="29"/>
      <c r="D89" s="20"/>
    </row>
    <row r="90" spans="1:4" x14ac:dyDescent="0.2">
      <c r="A90" s="29"/>
      <c r="D90" s="20"/>
    </row>
    <row r="91" spans="1:4" x14ac:dyDescent="0.2">
      <c r="A91" s="29"/>
      <c r="D91" s="20"/>
    </row>
    <row r="92" spans="1:4" x14ac:dyDescent="0.2">
      <c r="A92" s="29"/>
      <c r="D92" s="20"/>
    </row>
    <row r="93" spans="1:4" x14ac:dyDescent="0.2">
      <c r="A93" s="29"/>
      <c r="D93" s="20"/>
    </row>
    <row r="94" spans="1:4" x14ac:dyDescent="0.2">
      <c r="A94" s="29"/>
    </row>
    <row r="95" spans="1:4" x14ac:dyDescent="0.2">
      <c r="A95" s="29"/>
    </row>
    <row r="96" spans="1:4" x14ac:dyDescent="0.2">
      <c r="A96" s="29"/>
    </row>
    <row r="97" spans="1:1" x14ac:dyDescent="0.2">
      <c r="A97" s="29"/>
    </row>
    <row r="98" spans="1:1" x14ac:dyDescent="0.2">
      <c r="A98" s="29"/>
    </row>
    <row r="99" spans="1:1" x14ac:dyDescent="0.2">
      <c r="A99" s="29"/>
    </row>
    <row r="100" spans="1:1" x14ac:dyDescent="0.2">
      <c r="A100" s="29"/>
    </row>
    <row r="101" spans="1:1" x14ac:dyDescent="0.2">
      <c r="A101" s="29"/>
    </row>
    <row r="102" spans="1:1" x14ac:dyDescent="0.2">
      <c r="A102" s="29"/>
    </row>
    <row r="103" spans="1:1" x14ac:dyDescent="0.2">
      <c r="A103" s="29"/>
    </row>
    <row r="104" spans="1:1" x14ac:dyDescent="0.2">
      <c r="A104" s="29"/>
    </row>
    <row r="105" spans="1:1" x14ac:dyDescent="0.2">
      <c r="A105" s="29"/>
    </row>
    <row r="106" spans="1:1" x14ac:dyDescent="0.2">
      <c r="A106" s="29"/>
    </row>
    <row r="107" spans="1:1" x14ac:dyDescent="0.2">
      <c r="A107" s="29"/>
    </row>
    <row r="108" spans="1:1" x14ac:dyDescent="0.2">
      <c r="A108" s="29"/>
    </row>
    <row r="109" spans="1:1" x14ac:dyDescent="0.2">
      <c r="A109" s="29"/>
    </row>
    <row r="110" spans="1:1" x14ac:dyDescent="0.2">
      <c r="A110" s="29"/>
    </row>
    <row r="111" spans="1:1" x14ac:dyDescent="0.2">
      <c r="A111" s="29"/>
    </row>
    <row r="112" spans="1:1" x14ac:dyDescent="0.2">
      <c r="A112" s="26"/>
    </row>
    <row r="113" spans="1:1" x14ac:dyDescent="0.2">
      <c r="A113" s="26"/>
    </row>
    <row r="114" spans="1:1" x14ac:dyDescent="0.2">
      <c r="A114" s="26"/>
    </row>
    <row r="115" spans="1:1" x14ac:dyDescent="0.2">
      <c r="A115" s="26"/>
    </row>
    <row r="116" spans="1:1" x14ac:dyDescent="0.2">
      <c r="A116" s="26"/>
    </row>
    <row r="117" spans="1:1" x14ac:dyDescent="0.2">
      <c r="A117" s="26"/>
    </row>
    <row r="118" spans="1:1" x14ac:dyDescent="0.2">
      <c r="A118" s="26"/>
    </row>
    <row r="119" spans="1:1" x14ac:dyDescent="0.2">
      <c r="A119" s="26"/>
    </row>
    <row r="120" spans="1:1" x14ac:dyDescent="0.2">
      <c r="A120" s="26"/>
    </row>
    <row r="121" spans="1:1" x14ac:dyDescent="0.2">
      <c r="A121" s="26"/>
    </row>
    <row r="122" spans="1:1" x14ac:dyDescent="0.2">
      <c r="A122" s="2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Mucuripe</vt:lpstr>
      <vt:lpstr>Mucuripe - Stacked</vt:lpstr>
      <vt:lpstr>Pecem</vt:lpstr>
      <vt:lpstr>Pecem - Stacked</vt:lpstr>
      <vt:lpstr>VDC</vt:lpstr>
      <vt:lpstr>VDC - Stacked</vt:lpstr>
      <vt:lpstr>Tank Pier</vt:lpstr>
      <vt:lpstr>Tank Pier - Stacked</vt:lpstr>
      <vt:lpstr>PE</vt:lpstr>
      <vt:lpstr>PE - Stacked</vt:lpstr>
      <vt:lpstr>Berth&amp;Sail</vt:lpstr>
      <vt:lpstr>Daily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Matteus Gaarder</dc:creator>
  <cp:keywords/>
  <dc:description/>
  <cp:lastModifiedBy>Matteus Gaarder</cp:lastModifiedBy>
  <cp:revision/>
  <dcterms:created xsi:type="dcterms:W3CDTF">2026-08-16T17:48:12Z</dcterms:created>
  <dcterms:modified xsi:type="dcterms:W3CDTF">2026-08-25T21:24:27Z</dcterms:modified>
  <cp:category/>
  <cp:contentStatus/>
</cp:coreProperties>
</file>